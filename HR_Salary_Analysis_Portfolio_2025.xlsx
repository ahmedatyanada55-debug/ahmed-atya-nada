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مشاريعي\"/>
    </mc:Choice>
  </mc:AlternateContent>
  <xr:revisionPtr revIDLastSave="0" documentId="13_ncr:1_{892CC04A-9A02-4814-A321-8130AEFB41DF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📋 Raw Data" sheetId="1" r:id="rId1"/>
    <sheet name="📊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2" l="1"/>
  <c r="G25" i="2"/>
  <c r="G24" i="2"/>
  <c r="G23" i="2"/>
  <c r="D23" i="2"/>
  <c r="B23" i="2"/>
  <c r="G22" i="2"/>
  <c r="D22" i="2"/>
  <c r="B22" i="2"/>
  <c r="B17" i="2"/>
  <c r="B16" i="2"/>
  <c r="B15" i="2"/>
  <c r="G14" i="2"/>
  <c r="B14" i="2"/>
  <c r="G13" i="2"/>
  <c r="B13" i="2"/>
  <c r="G12" i="2"/>
  <c r="B12" i="2"/>
  <c r="G11" i="2"/>
  <c r="B11" i="2"/>
  <c r="A6" i="2"/>
  <c r="P201" i="1"/>
  <c r="M201" i="1"/>
  <c r="L201" i="1"/>
  <c r="N201" i="1" s="1"/>
  <c r="O201" i="1" s="1"/>
  <c r="K201" i="1"/>
  <c r="O200" i="1"/>
  <c r="M200" i="1"/>
  <c r="L200" i="1"/>
  <c r="K200" i="1"/>
  <c r="N200" i="1" s="1"/>
  <c r="M199" i="1"/>
  <c r="L199" i="1"/>
  <c r="K199" i="1"/>
  <c r="N198" i="1"/>
  <c r="M198" i="1"/>
  <c r="L198" i="1"/>
  <c r="K198" i="1"/>
  <c r="M197" i="1"/>
  <c r="L197" i="1"/>
  <c r="N197" i="1" s="1"/>
  <c r="O197" i="1" s="1"/>
  <c r="P197" i="1" s="1"/>
  <c r="K197" i="1"/>
  <c r="M196" i="1"/>
  <c r="L196" i="1"/>
  <c r="K196" i="1"/>
  <c r="N196" i="1" s="1"/>
  <c r="O196" i="1" s="1"/>
  <c r="M195" i="1"/>
  <c r="L195" i="1"/>
  <c r="K195" i="1"/>
  <c r="N194" i="1"/>
  <c r="M194" i="1"/>
  <c r="L194" i="1"/>
  <c r="K194" i="1"/>
  <c r="M193" i="1"/>
  <c r="L193" i="1"/>
  <c r="N193" i="1" s="1"/>
  <c r="K193" i="1"/>
  <c r="O192" i="1"/>
  <c r="M192" i="1"/>
  <c r="L192" i="1"/>
  <c r="K192" i="1"/>
  <c r="N192" i="1" s="1"/>
  <c r="M191" i="1"/>
  <c r="L191" i="1"/>
  <c r="K191" i="1"/>
  <c r="N190" i="1"/>
  <c r="M190" i="1"/>
  <c r="L190" i="1"/>
  <c r="K190" i="1"/>
  <c r="P189" i="1"/>
  <c r="M189" i="1"/>
  <c r="L189" i="1"/>
  <c r="N189" i="1" s="1"/>
  <c r="O189" i="1" s="1"/>
  <c r="K189" i="1"/>
  <c r="M188" i="1"/>
  <c r="L188" i="1"/>
  <c r="K188" i="1"/>
  <c r="N188" i="1" s="1"/>
  <c r="M187" i="1"/>
  <c r="L187" i="1"/>
  <c r="K187" i="1"/>
  <c r="N186" i="1"/>
  <c r="M186" i="1"/>
  <c r="L186" i="1"/>
  <c r="K186" i="1"/>
  <c r="P185" i="1"/>
  <c r="M185" i="1"/>
  <c r="L185" i="1"/>
  <c r="N185" i="1" s="1"/>
  <c r="O185" i="1" s="1"/>
  <c r="K185" i="1"/>
  <c r="O184" i="1"/>
  <c r="M184" i="1"/>
  <c r="L184" i="1"/>
  <c r="K184" i="1"/>
  <c r="N184" i="1" s="1"/>
  <c r="M183" i="1"/>
  <c r="L183" i="1"/>
  <c r="K183" i="1"/>
  <c r="N182" i="1"/>
  <c r="M182" i="1"/>
  <c r="L182" i="1"/>
  <c r="K182" i="1"/>
  <c r="M181" i="1"/>
  <c r="L181" i="1"/>
  <c r="N181" i="1" s="1"/>
  <c r="O181" i="1" s="1"/>
  <c r="K181" i="1"/>
  <c r="M180" i="1"/>
  <c r="L180" i="1"/>
  <c r="K180" i="1"/>
  <c r="N180" i="1" s="1"/>
  <c r="O180" i="1" s="1"/>
  <c r="M179" i="1"/>
  <c r="L179" i="1"/>
  <c r="K179" i="1"/>
  <c r="N178" i="1"/>
  <c r="M178" i="1"/>
  <c r="L178" i="1"/>
  <c r="K178" i="1"/>
  <c r="M177" i="1"/>
  <c r="L177" i="1"/>
  <c r="N177" i="1" s="1"/>
  <c r="K177" i="1"/>
  <c r="O176" i="1"/>
  <c r="M176" i="1"/>
  <c r="L176" i="1"/>
  <c r="K176" i="1"/>
  <c r="N176" i="1" s="1"/>
  <c r="M175" i="1"/>
  <c r="L175" i="1"/>
  <c r="K175" i="1"/>
  <c r="N174" i="1"/>
  <c r="M174" i="1"/>
  <c r="L174" i="1"/>
  <c r="K174" i="1"/>
  <c r="P173" i="1"/>
  <c r="M173" i="1"/>
  <c r="L173" i="1"/>
  <c r="N173" i="1" s="1"/>
  <c r="O173" i="1" s="1"/>
  <c r="K173" i="1"/>
  <c r="M172" i="1"/>
  <c r="L172" i="1"/>
  <c r="K172" i="1"/>
  <c r="N172" i="1" s="1"/>
  <c r="M171" i="1"/>
  <c r="L171" i="1"/>
  <c r="K171" i="1"/>
  <c r="N170" i="1"/>
  <c r="M170" i="1"/>
  <c r="L170" i="1"/>
  <c r="K170" i="1"/>
  <c r="P169" i="1"/>
  <c r="M169" i="1"/>
  <c r="L169" i="1"/>
  <c r="N169" i="1" s="1"/>
  <c r="O169" i="1" s="1"/>
  <c r="K169" i="1"/>
  <c r="O168" i="1"/>
  <c r="M168" i="1"/>
  <c r="L168" i="1"/>
  <c r="K168" i="1"/>
  <c r="N168" i="1" s="1"/>
  <c r="M167" i="1"/>
  <c r="L167" i="1"/>
  <c r="K167" i="1"/>
  <c r="N166" i="1"/>
  <c r="M166" i="1"/>
  <c r="L166" i="1"/>
  <c r="K166" i="1"/>
  <c r="M165" i="1"/>
  <c r="L165" i="1"/>
  <c r="N165" i="1" s="1"/>
  <c r="O165" i="1" s="1"/>
  <c r="K165" i="1"/>
  <c r="M164" i="1"/>
  <c r="L164" i="1"/>
  <c r="K164" i="1"/>
  <c r="N164" i="1" s="1"/>
  <c r="O164" i="1" s="1"/>
  <c r="M163" i="1"/>
  <c r="L163" i="1"/>
  <c r="K163" i="1"/>
  <c r="N162" i="1"/>
  <c r="M162" i="1"/>
  <c r="L162" i="1"/>
  <c r="K162" i="1"/>
  <c r="M161" i="1"/>
  <c r="L161" i="1"/>
  <c r="N161" i="1" s="1"/>
  <c r="K161" i="1"/>
  <c r="O160" i="1"/>
  <c r="M160" i="1"/>
  <c r="L160" i="1"/>
  <c r="K160" i="1"/>
  <c r="N160" i="1" s="1"/>
  <c r="M159" i="1"/>
  <c r="L159" i="1"/>
  <c r="K159" i="1"/>
  <c r="N158" i="1"/>
  <c r="M158" i="1"/>
  <c r="L158" i="1"/>
  <c r="K158" i="1"/>
  <c r="P157" i="1"/>
  <c r="M157" i="1"/>
  <c r="L157" i="1"/>
  <c r="N157" i="1" s="1"/>
  <c r="O157" i="1" s="1"/>
  <c r="K157" i="1"/>
  <c r="M156" i="1"/>
  <c r="L156" i="1"/>
  <c r="K156" i="1"/>
  <c r="N156" i="1" s="1"/>
  <c r="M155" i="1"/>
  <c r="L155" i="1"/>
  <c r="K155" i="1"/>
  <c r="N154" i="1"/>
  <c r="M154" i="1"/>
  <c r="L154" i="1"/>
  <c r="K154" i="1"/>
  <c r="P153" i="1"/>
  <c r="M153" i="1"/>
  <c r="L153" i="1"/>
  <c r="N153" i="1" s="1"/>
  <c r="O153" i="1" s="1"/>
  <c r="K153" i="1"/>
  <c r="O152" i="1"/>
  <c r="M152" i="1"/>
  <c r="L152" i="1"/>
  <c r="K152" i="1"/>
  <c r="N152" i="1" s="1"/>
  <c r="M151" i="1"/>
  <c r="L151" i="1"/>
  <c r="K151" i="1"/>
  <c r="N150" i="1"/>
  <c r="M150" i="1"/>
  <c r="L150" i="1"/>
  <c r="K150" i="1"/>
  <c r="M149" i="1"/>
  <c r="L149" i="1"/>
  <c r="N149" i="1" s="1"/>
  <c r="O149" i="1" s="1"/>
  <c r="K149" i="1"/>
  <c r="M148" i="1"/>
  <c r="L148" i="1"/>
  <c r="K148" i="1"/>
  <c r="N148" i="1" s="1"/>
  <c r="O148" i="1" s="1"/>
  <c r="M147" i="1"/>
  <c r="L147" i="1"/>
  <c r="K147" i="1"/>
  <c r="N146" i="1"/>
  <c r="M146" i="1"/>
  <c r="L146" i="1"/>
  <c r="K146" i="1"/>
  <c r="M145" i="1"/>
  <c r="L145" i="1"/>
  <c r="N145" i="1" s="1"/>
  <c r="K145" i="1"/>
  <c r="O144" i="1"/>
  <c r="M144" i="1"/>
  <c r="L144" i="1"/>
  <c r="K144" i="1"/>
  <c r="N144" i="1" s="1"/>
  <c r="M143" i="1"/>
  <c r="L143" i="1"/>
  <c r="K143" i="1"/>
  <c r="N142" i="1"/>
  <c r="M142" i="1"/>
  <c r="L142" i="1"/>
  <c r="K142" i="1"/>
  <c r="P141" i="1"/>
  <c r="M141" i="1"/>
  <c r="L141" i="1"/>
  <c r="N141" i="1" s="1"/>
  <c r="O141" i="1" s="1"/>
  <c r="K141" i="1"/>
  <c r="M140" i="1"/>
  <c r="L140" i="1"/>
  <c r="K140" i="1"/>
  <c r="N140" i="1" s="1"/>
  <c r="M139" i="1"/>
  <c r="L139" i="1"/>
  <c r="K139" i="1"/>
  <c r="N138" i="1"/>
  <c r="M138" i="1"/>
  <c r="L138" i="1"/>
  <c r="K138" i="1"/>
  <c r="P137" i="1"/>
  <c r="M137" i="1"/>
  <c r="L137" i="1"/>
  <c r="N137" i="1" s="1"/>
  <c r="O137" i="1" s="1"/>
  <c r="K137" i="1"/>
  <c r="O136" i="1"/>
  <c r="M136" i="1"/>
  <c r="L136" i="1"/>
  <c r="K136" i="1"/>
  <c r="N136" i="1" s="1"/>
  <c r="M135" i="1"/>
  <c r="L135" i="1"/>
  <c r="K135" i="1"/>
  <c r="N134" i="1"/>
  <c r="M134" i="1"/>
  <c r="L134" i="1"/>
  <c r="K134" i="1"/>
  <c r="M133" i="1"/>
  <c r="L133" i="1"/>
  <c r="N133" i="1" s="1"/>
  <c r="O133" i="1" s="1"/>
  <c r="K133" i="1"/>
  <c r="M132" i="1"/>
  <c r="L132" i="1"/>
  <c r="K132" i="1"/>
  <c r="N132" i="1" s="1"/>
  <c r="O132" i="1" s="1"/>
  <c r="M131" i="1"/>
  <c r="L131" i="1"/>
  <c r="K131" i="1"/>
  <c r="N130" i="1"/>
  <c r="M130" i="1"/>
  <c r="L130" i="1"/>
  <c r="K130" i="1"/>
  <c r="M129" i="1"/>
  <c r="L129" i="1"/>
  <c r="N129" i="1" s="1"/>
  <c r="K129" i="1"/>
  <c r="O128" i="1"/>
  <c r="M128" i="1"/>
  <c r="L128" i="1"/>
  <c r="K128" i="1"/>
  <c r="N128" i="1" s="1"/>
  <c r="M127" i="1"/>
  <c r="L127" i="1"/>
  <c r="K127" i="1"/>
  <c r="M126" i="1"/>
  <c r="L126" i="1"/>
  <c r="K126" i="1"/>
  <c r="N126" i="1" s="1"/>
  <c r="N125" i="1"/>
  <c r="M125" i="1"/>
  <c r="L125" i="1"/>
  <c r="K125" i="1"/>
  <c r="M124" i="1"/>
  <c r="L124" i="1"/>
  <c r="N124" i="1" s="1"/>
  <c r="K124" i="1"/>
  <c r="P123" i="1"/>
  <c r="M123" i="1"/>
  <c r="N123" i="1" s="1"/>
  <c r="O123" i="1" s="1"/>
  <c r="L123" i="1"/>
  <c r="K123" i="1"/>
  <c r="O122" i="1"/>
  <c r="M122" i="1"/>
  <c r="L122" i="1"/>
  <c r="K122" i="1"/>
  <c r="N122" i="1" s="1"/>
  <c r="M121" i="1"/>
  <c r="L121" i="1"/>
  <c r="N121" i="1" s="1"/>
  <c r="K121" i="1"/>
  <c r="M120" i="1"/>
  <c r="L120" i="1"/>
  <c r="N120" i="1" s="1"/>
  <c r="K120" i="1"/>
  <c r="M119" i="1"/>
  <c r="L119" i="1"/>
  <c r="K119" i="1"/>
  <c r="M118" i="1"/>
  <c r="L118" i="1"/>
  <c r="K118" i="1"/>
  <c r="N118" i="1" s="1"/>
  <c r="O118" i="1" s="1"/>
  <c r="M117" i="1"/>
  <c r="L117" i="1"/>
  <c r="N117" i="1" s="1"/>
  <c r="K117" i="1"/>
  <c r="N116" i="1"/>
  <c r="M116" i="1"/>
  <c r="L116" i="1"/>
  <c r="K116" i="1"/>
  <c r="P115" i="1"/>
  <c r="M115" i="1"/>
  <c r="N115" i="1" s="1"/>
  <c r="O115" i="1" s="1"/>
  <c r="L115" i="1"/>
  <c r="K115" i="1"/>
  <c r="O114" i="1"/>
  <c r="M114" i="1"/>
  <c r="L114" i="1"/>
  <c r="K114" i="1"/>
  <c r="N114" i="1" s="1"/>
  <c r="N113" i="1"/>
  <c r="M113" i="1"/>
  <c r="L113" i="1"/>
  <c r="K113" i="1"/>
  <c r="P112" i="1"/>
  <c r="N112" i="1"/>
  <c r="O112" i="1" s="1"/>
  <c r="M112" i="1"/>
  <c r="L112" i="1"/>
  <c r="K112" i="1"/>
  <c r="M111" i="1"/>
  <c r="L111" i="1"/>
  <c r="K111" i="1"/>
  <c r="M110" i="1"/>
  <c r="L110" i="1"/>
  <c r="K110" i="1"/>
  <c r="N110" i="1" s="1"/>
  <c r="N109" i="1"/>
  <c r="M109" i="1"/>
  <c r="L109" i="1"/>
  <c r="K109" i="1"/>
  <c r="M108" i="1"/>
  <c r="L108" i="1"/>
  <c r="N108" i="1" s="1"/>
  <c r="K108" i="1"/>
  <c r="P107" i="1"/>
  <c r="M107" i="1"/>
  <c r="N107" i="1" s="1"/>
  <c r="O107" i="1" s="1"/>
  <c r="L107" i="1"/>
  <c r="K107" i="1"/>
  <c r="O106" i="1"/>
  <c r="M106" i="1"/>
  <c r="L106" i="1"/>
  <c r="K106" i="1"/>
  <c r="N106" i="1" s="1"/>
  <c r="M105" i="1"/>
  <c r="L105" i="1"/>
  <c r="N105" i="1" s="1"/>
  <c r="K105" i="1"/>
  <c r="M104" i="1"/>
  <c r="L104" i="1"/>
  <c r="K104" i="1"/>
  <c r="N104" i="1" s="1"/>
  <c r="M103" i="1"/>
  <c r="L103" i="1"/>
  <c r="K103" i="1"/>
  <c r="N102" i="1"/>
  <c r="M102" i="1"/>
  <c r="L102" i="1"/>
  <c r="K102" i="1"/>
  <c r="P101" i="1"/>
  <c r="N101" i="1"/>
  <c r="O101" i="1" s="1"/>
  <c r="M101" i="1"/>
  <c r="L101" i="1"/>
  <c r="K101" i="1"/>
  <c r="M100" i="1"/>
  <c r="L100" i="1"/>
  <c r="N100" i="1" s="1"/>
  <c r="K100" i="1"/>
  <c r="M99" i="1"/>
  <c r="N99" i="1" s="1"/>
  <c r="L99" i="1"/>
  <c r="K99" i="1"/>
  <c r="M98" i="1"/>
  <c r="L98" i="1"/>
  <c r="K98" i="1"/>
  <c r="N97" i="1"/>
  <c r="M97" i="1"/>
  <c r="L97" i="1"/>
  <c r="K97" i="1"/>
  <c r="P96" i="1"/>
  <c r="M96" i="1"/>
  <c r="L96" i="1"/>
  <c r="N96" i="1" s="1"/>
  <c r="O96" i="1" s="1"/>
  <c r="K96" i="1"/>
  <c r="M95" i="1"/>
  <c r="L95" i="1"/>
  <c r="N95" i="1" s="1"/>
  <c r="K95" i="1"/>
  <c r="M94" i="1"/>
  <c r="L94" i="1"/>
  <c r="K94" i="1"/>
  <c r="N94" i="1" s="1"/>
  <c r="N93" i="1"/>
  <c r="M93" i="1"/>
  <c r="L93" i="1"/>
  <c r="K93" i="1"/>
  <c r="P92" i="1"/>
  <c r="N92" i="1"/>
  <c r="O92" i="1" s="1"/>
  <c r="M92" i="1"/>
  <c r="L92" i="1"/>
  <c r="K92" i="1"/>
  <c r="N91" i="1"/>
  <c r="O91" i="1" s="1"/>
  <c r="M91" i="1"/>
  <c r="L91" i="1"/>
  <c r="K91" i="1"/>
  <c r="M90" i="1"/>
  <c r="L90" i="1"/>
  <c r="K90" i="1"/>
  <c r="N90" i="1" s="1"/>
  <c r="M89" i="1"/>
  <c r="L89" i="1"/>
  <c r="N89" i="1" s="1"/>
  <c r="K89" i="1"/>
  <c r="O88" i="1"/>
  <c r="M88" i="1"/>
  <c r="L88" i="1"/>
  <c r="K88" i="1"/>
  <c r="N88" i="1" s="1"/>
  <c r="M87" i="1"/>
  <c r="L87" i="1"/>
  <c r="K87" i="1"/>
  <c r="N86" i="1"/>
  <c r="M86" i="1"/>
  <c r="L86" i="1"/>
  <c r="K86" i="1"/>
  <c r="M85" i="1"/>
  <c r="L85" i="1"/>
  <c r="N85" i="1" s="1"/>
  <c r="K85" i="1"/>
  <c r="N84" i="1"/>
  <c r="M84" i="1"/>
  <c r="L84" i="1"/>
  <c r="K84" i="1"/>
  <c r="M83" i="1"/>
  <c r="N83" i="1" s="1"/>
  <c r="O83" i="1" s="1"/>
  <c r="L83" i="1"/>
  <c r="K83" i="1"/>
  <c r="M82" i="1"/>
  <c r="L82" i="1"/>
  <c r="K82" i="1"/>
  <c r="M81" i="1"/>
  <c r="L81" i="1"/>
  <c r="N81" i="1" s="1"/>
  <c r="K81" i="1"/>
  <c r="N80" i="1"/>
  <c r="M80" i="1"/>
  <c r="L80" i="1"/>
  <c r="K80" i="1"/>
  <c r="P79" i="1"/>
  <c r="M79" i="1"/>
  <c r="L79" i="1"/>
  <c r="N79" i="1" s="1"/>
  <c r="O79" i="1" s="1"/>
  <c r="K79" i="1"/>
  <c r="O78" i="1"/>
  <c r="M78" i="1"/>
  <c r="L78" i="1"/>
  <c r="K78" i="1"/>
  <c r="N78" i="1" s="1"/>
  <c r="M77" i="1"/>
  <c r="L77" i="1"/>
  <c r="N77" i="1" s="1"/>
  <c r="K77" i="1"/>
  <c r="M76" i="1"/>
  <c r="L76" i="1"/>
  <c r="N76" i="1" s="1"/>
  <c r="K76" i="1"/>
  <c r="N75" i="1"/>
  <c r="M75" i="1"/>
  <c r="L75" i="1"/>
  <c r="K75" i="1"/>
  <c r="P74" i="1"/>
  <c r="M74" i="1"/>
  <c r="L74" i="1"/>
  <c r="K74" i="1"/>
  <c r="N74" i="1" s="1"/>
  <c r="O74" i="1" s="1"/>
  <c r="M73" i="1"/>
  <c r="N73" i="1" s="1"/>
  <c r="L73" i="1"/>
  <c r="K73" i="1"/>
  <c r="M72" i="1"/>
  <c r="L72" i="1"/>
  <c r="K72" i="1"/>
  <c r="N72" i="1" s="1"/>
  <c r="M71" i="1"/>
  <c r="L71" i="1"/>
  <c r="K71" i="1"/>
  <c r="N70" i="1"/>
  <c r="M70" i="1"/>
  <c r="L70" i="1"/>
  <c r="K70" i="1"/>
  <c r="P69" i="1"/>
  <c r="N69" i="1"/>
  <c r="O69" i="1" s="1"/>
  <c r="M69" i="1"/>
  <c r="L69" i="1"/>
  <c r="K69" i="1"/>
  <c r="M68" i="1"/>
  <c r="L68" i="1"/>
  <c r="N68" i="1" s="1"/>
  <c r="K68" i="1"/>
  <c r="M67" i="1"/>
  <c r="N67" i="1" s="1"/>
  <c r="L67" i="1"/>
  <c r="K67" i="1"/>
  <c r="M66" i="1"/>
  <c r="L66" i="1"/>
  <c r="K66" i="1"/>
  <c r="O65" i="1"/>
  <c r="M65" i="1"/>
  <c r="L65" i="1"/>
  <c r="K65" i="1"/>
  <c r="N65" i="1" s="1"/>
  <c r="M64" i="1"/>
  <c r="L64" i="1"/>
  <c r="K64" i="1"/>
  <c r="M63" i="1"/>
  <c r="L63" i="1"/>
  <c r="K63" i="1"/>
  <c r="N63" i="1" s="1"/>
  <c r="M62" i="1"/>
  <c r="L62" i="1"/>
  <c r="K62" i="1"/>
  <c r="O61" i="1"/>
  <c r="M61" i="1"/>
  <c r="L61" i="1"/>
  <c r="K61" i="1"/>
  <c r="N61" i="1" s="1"/>
  <c r="M60" i="1"/>
  <c r="L60" i="1"/>
  <c r="K60" i="1"/>
  <c r="M59" i="1"/>
  <c r="I12" i="2" s="1"/>
  <c r="L59" i="1"/>
  <c r="K59" i="1"/>
  <c r="M58" i="1"/>
  <c r="L58" i="1"/>
  <c r="K58" i="1"/>
  <c r="M57" i="1"/>
  <c r="L57" i="1"/>
  <c r="N57" i="1" s="1"/>
  <c r="O57" i="1" s="1"/>
  <c r="K57" i="1"/>
  <c r="N56" i="1"/>
  <c r="M56" i="1"/>
  <c r="L56" i="1"/>
  <c r="K56" i="1"/>
  <c r="M55" i="1"/>
  <c r="L55" i="1"/>
  <c r="N55" i="1" s="1"/>
  <c r="O55" i="1" s="1"/>
  <c r="K55" i="1"/>
  <c r="N54" i="1"/>
  <c r="M54" i="1"/>
  <c r="L54" i="1"/>
  <c r="K54" i="1"/>
  <c r="M53" i="1"/>
  <c r="L53" i="1"/>
  <c r="N53" i="1" s="1"/>
  <c r="O53" i="1" s="1"/>
  <c r="K53" i="1"/>
  <c r="N52" i="1"/>
  <c r="M52" i="1"/>
  <c r="L52" i="1"/>
  <c r="K52" i="1"/>
  <c r="M51" i="1"/>
  <c r="L51" i="1"/>
  <c r="N51" i="1" s="1"/>
  <c r="O51" i="1" s="1"/>
  <c r="K51" i="1"/>
  <c r="N50" i="1"/>
  <c r="M50" i="1"/>
  <c r="L50" i="1"/>
  <c r="K50" i="1"/>
  <c r="M49" i="1"/>
  <c r="L49" i="1"/>
  <c r="N49" i="1" s="1"/>
  <c r="O49" i="1" s="1"/>
  <c r="K49" i="1"/>
  <c r="N48" i="1"/>
  <c r="M48" i="1"/>
  <c r="L48" i="1"/>
  <c r="K48" i="1"/>
  <c r="M47" i="1"/>
  <c r="L47" i="1"/>
  <c r="N47" i="1" s="1"/>
  <c r="O47" i="1" s="1"/>
  <c r="K47" i="1"/>
  <c r="N46" i="1"/>
  <c r="M46" i="1"/>
  <c r="L46" i="1"/>
  <c r="K46" i="1"/>
  <c r="M45" i="1"/>
  <c r="L45" i="1"/>
  <c r="N45" i="1" s="1"/>
  <c r="O45" i="1" s="1"/>
  <c r="K45" i="1"/>
  <c r="N44" i="1"/>
  <c r="M44" i="1"/>
  <c r="L44" i="1"/>
  <c r="K44" i="1"/>
  <c r="M43" i="1"/>
  <c r="L43" i="1"/>
  <c r="N43" i="1" s="1"/>
  <c r="O43" i="1" s="1"/>
  <c r="K43" i="1"/>
  <c r="N42" i="1"/>
  <c r="M42" i="1"/>
  <c r="L42" i="1"/>
  <c r="K42" i="1"/>
  <c r="M41" i="1"/>
  <c r="L41" i="1"/>
  <c r="N41" i="1" s="1"/>
  <c r="O41" i="1" s="1"/>
  <c r="K41" i="1"/>
  <c r="N40" i="1"/>
  <c r="M40" i="1"/>
  <c r="L40" i="1"/>
  <c r="K40" i="1"/>
  <c r="M39" i="1"/>
  <c r="L39" i="1"/>
  <c r="N39" i="1" s="1"/>
  <c r="O39" i="1" s="1"/>
  <c r="K39" i="1"/>
  <c r="N38" i="1"/>
  <c r="M38" i="1"/>
  <c r="L38" i="1"/>
  <c r="K38" i="1"/>
  <c r="M37" i="1"/>
  <c r="L37" i="1"/>
  <c r="N37" i="1" s="1"/>
  <c r="O37" i="1" s="1"/>
  <c r="K37" i="1"/>
  <c r="N36" i="1"/>
  <c r="M36" i="1"/>
  <c r="L36" i="1"/>
  <c r="K36" i="1"/>
  <c r="M35" i="1"/>
  <c r="L35" i="1"/>
  <c r="N35" i="1" s="1"/>
  <c r="O35" i="1" s="1"/>
  <c r="K35" i="1"/>
  <c r="N34" i="1"/>
  <c r="M34" i="1"/>
  <c r="L34" i="1"/>
  <c r="K34" i="1"/>
  <c r="M33" i="1"/>
  <c r="L33" i="1"/>
  <c r="N33" i="1" s="1"/>
  <c r="O33" i="1" s="1"/>
  <c r="K33" i="1"/>
  <c r="N32" i="1"/>
  <c r="M32" i="1"/>
  <c r="L32" i="1"/>
  <c r="K32" i="1"/>
  <c r="M31" i="1"/>
  <c r="L31" i="1"/>
  <c r="N31" i="1" s="1"/>
  <c r="O31" i="1" s="1"/>
  <c r="K31" i="1"/>
  <c r="N30" i="1"/>
  <c r="M30" i="1"/>
  <c r="L30" i="1"/>
  <c r="K30" i="1"/>
  <c r="M29" i="1"/>
  <c r="L29" i="1"/>
  <c r="N29" i="1" s="1"/>
  <c r="O29" i="1" s="1"/>
  <c r="K29" i="1"/>
  <c r="N28" i="1"/>
  <c r="M28" i="1"/>
  <c r="L28" i="1"/>
  <c r="K28" i="1"/>
  <c r="M27" i="1"/>
  <c r="L27" i="1"/>
  <c r="N27" i="1" s="1"/>
  <c r="O27" i="1" s="1"/>
  <c r="K27" i="1"/>
  <c r="N26" i="1"/>
  <c r="M26" i="1"/>
  <c r="L26" i="1"/>
  <c r="K26" i="1"/>
  <c r="M25" i="1"/>
  <c r="L25" i="1"/>
  <c r="N25" i="1" s="1"/>
  <c r="O25" i="1" s="1"/>
  <c r="K25" i="1"/>
  <c r="N24" i="1"/>
  <c r="M24" i="1"/>
  <c r="L24" i="1"/>
  <c r="K24" i="1"/>
  <c r="M23" i="1"/>
  <c r="L23" i="1"/>
  <c r="N23" i="1" s="1"/>
  <c r="O23" i="1" s="1"/>
  <c r="K23" i="1"/>
  <c r="N22" i="1"/>
  <c r="M22" i="1"/>
  <c r="L22" i="1"/>
  <c r="K22" i="1"/>
  <c r="M21" i="1"/>
  <c r="L21" i="1"/>
  <c r="N21" i="1" s="1"/>
  <c r="O21" i="1" s="1"/>
  <c r="K21" i="1"/>
  <c r="N20" i="1"/>
  <c r="M20" i="1"/>
  <c r="L20" i="1"/>
  <c r="K20" i="1"/>
  <c r="M19" i="1"/>
  <c r="L19" i="1"/>
  <c r="N19" i="1" s="1"/>
  <c r="O19" i="1" s="1"/>
  <c r="K19" i="1"/>
  <c r="N18" i="1"/>
  <c r="M18" i="1"/>
  <c r="L18" i="1"/>
  <c r="K18" i="1"/>
  <c r="M17" i="1"/>
  <c r="L17" i="1"/>
  <c r="N17" i="1" s="1"/>
  <c r="O17" i="1" s="1"/>
  <c r="K17" i="1"/>
  <c r="M16" i="1"/>
  <c r="L16" i="1"/>
  <c r="N16" i="1" s="1"/>
  <c r="K16" i="1"/>
  <c r="N15" i="1"/>
  <c r="O15" i="1" s="1"/>
  <c r="M15" i="1"/>
  <c r="L15" i="1"/>
  <c r="K15" i="1"/>
  <c r="N14" i="1"/>
  <c r="O14" i="1" s="1"/>
  <c r="M14" i="1"/>
  <c r="L14" i="1"/>
  <c r="K14" i="1"/>
  <c r="M13" i="1"/>
  <c r="L13" i="1"/>
  <c r="N13" i="1" s="1"/>
  <c r="K13" i="1"/>
  <c r="M12" i="1"/>
  <c r="L12" i="1"/>
  <c r="N12" i="1" s="1"/>
  <c r="K12" i="1"/>
  <c r="N11" i="1"/>
  <c r="O11" i="1" s="1"/>
  <c r="M11" i="1"/>
  <c r="L11" i="1"/>
  <c r="K11" i="1"/>
  <c r="N10" i="1"/>
  <c r="M10" i="1"/>
  <c r="L10" i="1"/>
  <c r="K10" i="1"/>
  <c r="M9" i="1"/>
  <c r="L9" i="1"/>
  <c r="N9" i="1" s="1"/>
  <c r="K9" i="1"/>
  <c r="M8" i="1"/>
  <c r="L8" i="1"/>
  <c r="N8" i="1" s="1"/>
  <c r="K8" i="1"/>
  <c r="N7" i="1"/>
  <c r="M7" i="1"/>
  <c r="L7" i="1"/>
  <c r="K7" i="1"/>
  <c r="N6" i="1"/>
  <c r="M6" i="1"/>
  <c r="L6" i="1"/>
  <c r="K6" i="1"/>
  <c r="M5" i="1"/>
  <c r="L5" i="1"/>
  <c r="N5" i="1" s="1"/>
  <c r="K5" i="1"/>
  <c r="M4" i="1"/>
  <c r="L4" i="1"/>
  <c r="N4" i="1" s="1"/>
  <c r="K4" i="1"/>
  <c r="N3" i="1"/>
  <c r="M3" i="1"/>
  <c r="L3" i="1"/>
  <c r="K3" i="1"/>
  <c r="M2" i="1"/>
  <c r="L2" i="1"/>
  <c r="N2" i="1" s="1"/>
  <c r="K2" i="1"/>
  <c r="O5" i="1" l="1"/>
  <c r="P5" i="1"/>
  <c r="O4" i="1"/>
  <c r="P4" i="1"/>
  <c r="O2" i="1"/>
  <c r="P2" i="1"/>
  <c r="O9" i="1"/>
  <c r="P9" i="1"/>
  <c r="O13" i="1"/>
  <c r="P13" i="1"/>
  <c r="O12" i="1"/>
  <c r="P12" i="1" s="1"/>
  <c r="O8" i="1"/>
  <c r="P8" i="1" s="1"/>
  <c r="O16" i="1"/>
  <c r="P16" i="1" s="1"/>
  <c r="O6" i="1"/>
  <c r="C17" i="2"/>
  <c r="O10" i="1"/>
  <c r="O76" i="1"/>
  <c r="P76" i="1" s="1"/>
  <c r="P80" i="1"/>
  <c r="O80" i="1"/>
  <c r="O85" i="1"/>
  <c r="P85" i="1" s="1"/>
  <c r="P90" i="1"/>
  <c r="O94" i="1"/>
  <c r="P94" i="1" s="1"/>
  <c r="O95" i="1"/>
  <c r="P95" i="1"/>
  <c r="O99" i="1"/>
  <c r="P99" i="1"/>
  <c r="O102" i="1"/>
  <c r="P102" i="1" s="1"/>
  <c r="O104" i="1"/>
  <c r="P104" i="1"/>
  <c r="O105" i="1"/>
  <c r="P105" i="1"/>
  <c r="O124" i="1"/>
  <c r="P124" i="1"/>
  <c r="O3" i="1"/>
  <c r="P6" i="1"/>
  <c r="O7" i="1"/>
  <c r="P10" i="1"/>
  <c r="P14" i="1"/>
  <c r="P61" i="1"/>
  <c r="P78" i="1"/>
  <c r="O97" i="1"/>
  <c r="P97" i="1"/>
  <c r="O110" i="1"/>
  <c r="P110" i="1" s="1"/>
  <c r="O121" i="1"/>
  <c r="P121" i="1"/>
  <c r="O145" i="1"/>
  <c r="P145" i="1"/>
  <c r="O177" i="1"/>
  <c r="P177" i="1"/>
  <c r="D16" i="2"/>
  <c r="I11" i="2"/>
  <c r="P3" i="1"/>
  <c r="P7" i="1"/>
  <c r="P11" i="1"/>
  <c r="P18" i="1"/>
  <c r="O18" i="1"/>
  <c r="P19" i="1"/>
  <c r="P21" i="1"/>
  <c r="P24" i="1"/>
  <c r="O24" i="1"/>
  <c r="P25" i="1"/>
  <c r="P27" i="1"/>
  <c r="P30" i="1"/>
  <c r="O30" i="1"/>
  <c r="P32" i="1"/>
  <c r="O32" i="1"/>
  <c r="P33" i="1"/>
  <c r="P35" i="1"/>
  <c r="P38" i="1"/>
  <c r="O38" i="1"/>
  <c r="P39" i="1"/>
  <c r="P41" i="1"/>
  <c r="P44" i="1"/>
  <c r="O44" i="1"/>
  <c r="P45" i="1"/>
  <c r="O48" i="1"/>
  <c r="P48" i="1" s="1"/>
  <c r="P49" i="1"/>
  <c r="P51" i="1"/>
  <c r="P53" i="1"/>
  <c r="P56" i="1"/>
  <c r="O56" i="1"/>
  <c r="O75" i="1"/>
  <c r="P75" i="1" s="1"/>
  <c r="O84" i="1"/>
  <c r="P84" i="1" s="1"/>
  <c r="P126" i="1"/>
  <c r="O126" i="1"/>
  <c r="P138" i="1"/>
  <c r="O138" i="1"/>
  <c r="P154" i="1"/>
  <c r="O154" i="1"/>
  <c r="P172" i="1"/>
  <c r="O172" i="1"/>
  <c r="P188" i="1"/>
  <c r="O188" i="1"/>
  <c r="P63" i="1"/>
  <c r="O63" i="1"/>
  <c r="O67" i="1"/>
  <c r="P67" i="1" s="1"/>
  <c r="P70" i="1"/>
  <c r="O70" i="1"/>
  <c r="P72" i="1"/>
  <c r="O72" i="1"/>
  <c r="P88" i="1"/>
  <c r="O117" i="1"/>
  <c r="P117" i="1"/>
  <c r="O129" i="1"/>
  <c r="P129" i="1"/>
  <c r="O161" i="1"/>
  <c r="P161" i="1"/>
  <c r="O193" i="1"/>
  <c r="P193" i="1"/>
  <c r="P15" i="1"/>
  <c r="P17" i="1"/>
  <c r="O20" i="1"/>
  <c r="P20" i="1" s="1"/>
  <c r="P22" i="1"/>
  <c r="O22" i="1"/>
  <c r="P23" i="1"/>
  <c r="P26" i="1"/>
  <c r="O26" i="1"/>
  <c r="P28" i="1"/>
  <c r="O28" i="1"/>
  <c r="P29" i="1"/>
  <c r="P31" i="1"/>
  <c r="P34" i="1"/>
  <c r="O34" i="1"/>
  <c r="P36" i="1"/>
  <c r="O36" i="1"/>
  <c r="P37" i="1"/>
  <c r="O40" i="1"/>
  <c r="P40" i="1" s="1"/>
  <c r="P42" i="1"/>
  <c r="O42" i="1"/>
  <c r="P43" i="1"/>
  <c r="P46" i="1"/>
  <c r="O46" i="1"/>
  <c r="P47" i="1"/>
  <c r="O50" i="1"/>
  <c r="P50" i="1" s="1"/>
  <c r="P52" i="1"/>
  <c r="O52" i="1"/>
  <c r="O54" i="1"/>
  <c r="P54" i="1" s="1"/>
  <c r="P55" i="1"/>
  <c r="P57" i="1"/>
  <c r="O73" i="1"/>
  <c r="P73" i="1"/>
  <c r="O81" i="1"/>
  <c r="P81" i="1" s="1"/>
  <c r="P83" i="1"/>
  <c r="O89" i="1"/>
  <c r="P89" i="1" s="1"/>
  <c r="O100" i="1"/>
  <c r="P100" i="1" s="1"/>
  <c r="O120" i="1"/>
  <c r="P120" i="1" s="1"/>
  <c r="P140" i="1"/>
  <c r="O140" i="1"/>
  <c r="P156" i="1"/>
  <c r="O156" i="1"/>
  <c r="P170" i="1"/>
  <c r="O170" i="1"/>
  <c r="P186" i="1"/>
  <c r="O186" i="1"/>
  <c r="N59" i="1"/>
  <c r="P65" i="1"/>
  <c r="O68" i="1"/>
  <c r="P68" i="1" s="1"/>
  <c r="O77" i="1"/>
  <c r="P77" i="1" s="1"/>
  <c r="O93" i="1"/>
  <c r="P93" i="1" s="1"/>
  <c r="O108" i="1"/>
  <c r="P108" i="1" s="1"/>
  <c r="O113" i="1"/>
  <c r="P113" i="1" s="1"/>
  <c r="O116" i="1"/>
  <c r="P116" i="1" s="1"/>
  <c r="D14" i="2"/>
  <c r="D12" i="2"/>
  <c r="N58" i="1"/>
  <c r="I22" i="2" s="1"/>
  <c r="N62" i="1"/>
  <c r="N66" i="1"/>
  <c r="I25" i="2" s="1"/>
  <c r="N87" i="1"/>
  <c r="I26" i="2" s="1"/>
  <c r="O90" i="1"/>
  <c r="N98" i="1"/>
  <c r="N111" i="1"/>
  <c r="P114" i="1"/>
  <c r="P133" i="1"/>
  <c r="O134" i="1"/>
  <c r="P134" i="1" s="1"/>
  <c r="P136" i="1"/>
  <c r="P149" i="1"/>
  <c r="O150" i="1"/>
  <c r="P150" i="1" s="1"/>
  <c r="P152" i="1"/>
  <c r="P165" i="1"/>
  <c r="O166" i="1"/>
  <c r="P166" i="1" s="1"/>
  <c r="P168" i="1"/>
  <c r="P181" i="1"/>
  <c r="O182" i="1"/>
  <c r="P182" i="1" s="1"/>
  <c r="P184" i="1"/>
  <c r="P198" i="1"/>
  <c r="O198" i="1"/>
  <c r="P200" i="1"/>
  <c r="P86" i="1"/>
  <c r="P118" i="1"/>
  <c r="O130" i="1"/>
  <c r="P130" i="1" s="1"/>
  <c r="P132" i="1"/>
  <c r="P146" i="1"/>
  <c r="O146" i="1"/>
  <c r="P148" i="1"/>
  <c r="P162" i="1"/>
  <c r="O162" i="1"/>
  <c r="P164" i="1"/>
  <c r="O178" i="1"/>
  <c r="P178" i="1" s="1"/>
  <c r="P180" i="1"/>
  <c r="O194" i="1"/>
  <c r="P194" i="1" s="1"/>
  <c r="P196" i="1"/>
  <c r="I14" i="2"/>
  <c r="D11" i="2"/>
  <c r="D15" i="2"/>
  <c r="I13" i="2"/>
  <c r="D13" i="2"/>
  <c r="D17" i="2"/>
  <c r="N60" i="1"/>
  <c r="D6" i="2" s="1"/>
  <c r="N64" i="1"/>
  <c r="C12" i="2" s="1"/>
  <c r="N71" i="1"/>
  <c r="N82" i="1"/>
  <c r="O86" i="1"/>
  <c r="P91" i="1"/>
  <c r="N103" i="1"/>
  <c r="P106" i="1"/>
  <c r="O109" i="1"/>
  <c r="P109" i="1"/>
  <c r="N119" i="1"/>
  <c r="P122" i="1"/>
  <c r="O125" i="1"/>
  <c r="P125" i="1"/>
  <c r="P128" i="1"/>
  <c r="O142" i="1"/>
  <c r="P142" i="1" s="1"/>
  <c r="P144" i="1"/>
  <c r="P158" i="1"/>
  <c r="O158" i="1"/>
  <c r="P160" i="1"/>
  <c r="P174" i="1"/>
  <c r="O174" i="1"/>
  <c r="P176" i="1"/>
  <c r="O190" i="1"/>
  <c r="P190" i="1" s="1"/>
  <c r="P192" i="1"/>
  <c r="N131" i="1"/>
  <c r="N139" i="1"/>
  <c r="N147" i="1"/>
  <c r="N155" i="1"/>
  <c r="N163" i="1"/>
  <c r="N171" i="1"/>
  <c r="N179" i="1"/>
  <c r="C13" i="2" s="1"/>
  <c r="N187" i="1"/>
  <c r="N195" i="1"/>
  <c r="N127" i="1"/>
  <c r="N135" i="1"/>
  <c r="N143" i="1"/>
  <c r="N151" i="1"/>
  <c r="N159" i="1"/>
  <c r="N167" i="1"/>
  <c r="N175" i="1"/>
  <c r="N183" i="1"/>
  <c r="N191" i="1"/>
  <c r="N199" i="1"/>
  <c r="C22" i="2" l="1"/>
  <c r="J6" i="2"/>
  <c r="O87" i="1"/>
  <c r="P87" i="1"/>
  <c r="O191" i="1"/>
  <c r="P191" i="1" s="1"/>
  <c r="O159" i="1"/>
  <c r="P159" i="1"/>
  <c r="O127" i="1"/>
  <c r="P127" i="1" s="1"/>
  <c r="H23" i="2" s="1"/>
  <c r="O171" i="1"/>
  <c r="P171" i="1"/>
  <c r="O139" i="1"/>
  <c r="P139" i="1" s="1"/>
  <c r="O60" i="1"/>
  <c r="P60" i="1" s="1"/>
  <c r="O183" i="1"/>
  <c r="P183" i="1" s="1"/>
  <c r="O151" i="1"/>
  <c r="P151" i="1"/>
  <c r="O195" i="1"/>
  <c r="P195" i="1" s="1"/>
  <c r="O163" i="1"/>
  <c r="P163" i="1"/>
  <c r="O131" i="1"/>
  <c r="P131" i="1" s="1"/>
  <c r="O82" i="1"/>
  <c r="P82" i="1" s="1"/>
  <c r="P98" i="1"/>
  <c r="O98" i="1"/>
  <c r="O62" i="1"/>
  <c r="P62" i="1" s="1"/>
  <c r="H14" i="2" s="1"/>
  <c r="I23" i="2"/>
  <c r="O199" i="1"/>
  <c r="P199" i="1"/>
  <c r="O167" i="1"/>
  <c r="P167" i="1"/>
  <c r="O135" i="1"/>
  <c r="P135" i="1"/>
  <c r="O111" i="1"/>
  <c r="P111" i="1"/>
  <c r="O66" i="1"/>
  <c r="P66" i="1" s="1"/>
  <c r="H25" i="2" s="1"/>
  <c r="O175" i="1"/>
  <c r="P175" i="1"/>
  <c r="O143" i="1"/>
  <c r="P143" i="1"/>
  <c r="O187" i="1"/>
  <c r="P187" i="1"/>
  <c r="O155" i="1"/>
  <c r="P155" i="1"/>
  <c r="O119" i="1"/>
  <c r="P119" i="1"/>
  <c r="O103" i="1"/>
  <c r="P103" i="1"/>
  <c r="O71" i="1"/>
  <c r="P71" i="1"/>
  <c r="O58" i="1"/>
  <c r="P58" i="1" s="1"/>
  <c r="O59" i="1"/>
  <c r="P59" i="1" s="1"/>
  <c r="C15" i="2"/>
  <c r="C16" i="2"/>
  <c r="O179" i="1"/>
  <c r="P179" i="1"/>
  <c r="O147" i="1"/>
  <c r="P147" i="1" s="1"/>
  <c r="H26" i="2" s="1"/>
  <c r="O64" i="1"/>
  <c r="P64" i="1" s="1"/>
  <c r="H13" i="2" s="1"/>
  <c r="I24" i="2"/>
  <c r="C14" i="2"/>
  <c r="C23" i="2"/>
  <c r="C11" i="2"/>
  <c r="H22" i="2" l="1"/>
  <c r="G6" i="2"/>
  <c r="H11" i="2"/>
  <c r="H24" i="2"/>
  <c r="H12" i="2"/>
</calcChain>
</file>

<file path=xl/sharedStrings.xml><?xml version="1.0" encoding="utf-8"?>
<sst xmlns="http://schemas.openxmlformats.org/spreadsheetml/2006/main" count="1460" uniqueCount="207">
  <si>
    <t>#</t>
  </si>
  <si>
    <t>اسم الموظف</t>
  </si>
  <si>
    <t>الجنس</t>
  </si>
  <si>
    <t>القسم</t>
  </si>
  <si>
    <t>المسمى الوظيفي</t>
  </si>
  <si>
    <t>المدينة</t>
  </si>
  <si>
    <t>المؤهل</t>
  </si>
  <si>
    <t>سنوات الخبرة</t>
  </si>
  <si>
    <t>تقييم الأداء</t>
  </si>
  <si>
    <t>الراتب الأساسي (ج.م)</t>
  </si>
  <si>
    <t>بدل السكن (ج.م)</t>
  </si>
  <si>
    <t>بدل المواصلات (ج.م)</t>
  </si>
  <si>
    <t>المكافأة (ج.م)</t>
  </si>
  <si>
    <t>الراتب الإجمالي (ج.م)</t>
  </si>
  <si>
    <t>الضريبة (ج.م)</t>
  </si>
  <si>
    <t>صافي الراتب (ج.م)</t>
  </si>
  <si>
    <t>مريم عمر</t>
  </si>
  <si>
    <t>أنثى</t>
  </si>
  <si>
    <t>العمليات</t>
  </si>
  <si>
    <t>مدير عمليات</t>
  </si>
  <si>
    <t>القاهرة</t>
  </si>
  <si>
    <t>بكالوريوس</t>
  </si>
  <si>
    <t>ممتاز</t>
  </si>
  <si>
    <t>أحمد علي</t>
  </si>
  <si>
    <t>ذكر</t>
  </si>
  <si>
    <t>الموارد البشرية</t>
  </si>
  <si>
    <t>أخصائي توظيف</t>
  </si>
  <si>
    <t>ماجستير</t>
  </si>
  <si>
    <t>مقبول</t>
  </si>
  <si>
    <t>خالد صالح</t>
  </si>
  <si>
    <t>المبيعات</t>
  </si>
  <si>
    <t>مشرف مبيعات</t>
  </si>
  <si>
    <t>أسيوط</t>
  </si>
  <si>
    <t>دكتوراه</t>
  </si>
  <si>
    <t>جيد جداً</t>
  </si>
  <si>
    <t>عمر عمر</t>
  </si>
  <si>
    <t>التسويق</t>
  </si>
  <si>
    <t>مصمم جرافيك</t>
  </si>
  <si>
    <t>دبلوم</t>
  </si>
  <si>
    <t>يوسف علي</t>
  </si>
  <si>
    <t>المالية</t>
  </si>
  <si>
    <t>مدير مالي</t>
  </si>
  <si>
    <t>رنا يوسف</t>
  </si>
  <si>
    <t>محلل مالي</t>
  </si>
  <si>
    <t>الجيزة</t>
  </si>
  <si>
    <t>محمد صالح</t>
  </si>
  <si>
    <t>تقنية المعلومات</t>
  </si>
  <si>
    <t>مهندس شبكات</t>
  </si>
  <si>
    <t>المنصورة</t>
  </si>
  <si>
    <t>جيد</t>
  </si>
  <si>
    <t>محمد السيد</t>
  </si>
  <si>
    <t>مدير HR</t>
  </si>
  <si>
    <t>كريم صالح</t>
  </si>
  <si>
    <t>خدمة العملاء</t>
  </si>
  <si>
    <t>مشرف كول سنتر</t>
  </si>
  <si>
    <t>نورا علي</t>
  </si>
  <si>
    <t>محلل بيانات</t>
  </si>
  <si>
    <t>رنا محمد</t>
  </si>
  <si>
    <t>الإسكندرية</t>
  </si>
  <si>
    <t>مريم عبدالله</t>
  </si>
  <si>
    <t>مدير تجربة العميل</t>
  </si>
  <si>
    <t>محمد إبراهيم</t>
  </si>
  <si>
    <t>مدير تسويق</t>
  </si>
  <si>
    <t>علي عمر</t>
  </si>
  <si>
    <t>ياسمين عمر</t>
  </si>
  <si>
    <t>مصطفى إبراهيم</t>
  </si>
  <si>
    <t>موظف مبيعات</t>
  </si>
  <si>
    <t>يوسف صالح</t>
  </si>
  <si>
    <t>مدير مبيعات</t>
  </si>
  <si>
    <t>منى علي</t>
  </si>
  <si>
    <t>يوسف حسين</t>
  </si>
  <si>
    <t>مدير تدريب</t>
  </si>
  <si>
    <t>كريم حسين</t>
  </si>
  <si>
    <t>هبة صالح</t>
  </si>
  <si>
    <t>ممثل خدمة عملاء</t>
  </si>
  <si>
    <t>سارة محمد</t>
  </si>
  <si>
    <t>رنا علي</t>
  </si>
  <si>
    <t>مصطفى أحمد</t>
  </si>
  <si>
    <t>حسن أحمد</t>
  </si>
  <si>
    <t>علي محمد</t>
  </si>
  <si>
    <t>مريم السيد</t>
  </si>
  <si>
    <t>محاسب</t>
  </si>
  <si>
    <t>خالد محمد</t>
  </si>
  <si>
    <t>مطور برمجيات</t>
  </si>
  <si>
    <t>مريم محمد</t>
  </si>
  <si>
    <t>مشرف مستودع</t>
  </si>
  <si>
    <t>كريم محمد</t>
  </si>
  <si>
    <t>سارة علي</t>
  </si>
  <si>
    <t>عمر يوسف</t>
  </si>
  <si>
    <t>نورا عبدالله</t>
  </si>
  <si>
    <t>مصطفى عبدالله</t>
  </si>
  <si>
    <t>أسماء عمر</t>
  </si>
  <si>
    <t>يوسف السيد</t>
  </si>
  <si>
    <t>محمد عبدالله</t>
  </si>
  <si>
    <t>حسن حسين</t>
  </si>
  <si>
    <t>حسن علي</t>
  </si>
  <si>
    <t>مصطفى محمد</t>
  </si>
  <si>
    <t>أحمد محمد</t>
  </si>
  <si>
    <t>منسق لوجستي</t>
  </si>
  <si>
    <t>نورا عمر</t>
  </si>
  <si>
    <t>يوسف عبدالله</t>
  </si>
  <si>
    <t>محمد حسين</t>
  </si>
  <si>
    <t>سارة يوسف</t>
  </si>
  <si>
    <t>أسماء أحمد</t>
  </si>
  <si>
    <t>نورا يوسف</t>
  </si>
  <si>
    <t>طارق السيد</t>
  </si>
  <si>
    <t>أحمد السيد</t>
  </si>
  <si>
    <t>محمد محمد</t>
  </si>
  <si>
    <t>كريم عبدالله</t>
  </si>
  <si>
    <t>مصطفى حسين</t>
  </si>
  <si>
    <t>منى عمر</t>
  </si>
  <si>
    <t>دينا عمر</t>
  </si>
  <si>
    <t>أحمد يوسف</t>
  </si>
  <si>
    <t>نورا أحمد</t>
  </si>
  <si>
    <t>دينا أحمد</t>
  </si>
  <si>
    <t>عمر علي</t>
  </si>
  <si>
    <t>هبة أحمد</t>
  </si>
  <si>
    <t>حسن يوسف</t>
  </si>
  <si>
    <t>رنا حسين</t>
  </si>
  <si>
    <t>نورا إبراهيم</t>
  </si>
  <si>
    <t>محلل تسويق</t>
  </si>
  <si>
    <t>منى عبدالله</t>
  </si>
  <si>
    <t>نورا السيد</t>
  </si>
  <si>
    <t>مريم حسين</t>
  </si>
  <si>
    <t>رنا عبدالله</t>
  </si>
  <si>
    <t>هبة يوسف</t>
  </si>
  <si>
    <t>أسماء علي</t>
  </si>
  <si>
    <t>دينا علي</t>
  </si>
  <si>
    <t>طارق إبراهيم</t>
  </si>
  <si>
    <t>كريم يوسف</t>
  </si>
  <si>
    <t>ياسمين علي</t>
  </si>
  <si>
    <t>منى محمد</t>
  </si>
  <si>
    <t>أحمد حسين</t>
  </si>
  <si>
    <t>عمر أحمد</t>
  </si>
  <si>
    <t>ياسمين حسين</t>
  </si>
  <si>
    <t>مريم صالح</t>
  </si>
  <si>
    <t>دينا حسين</t>
  </si>
  <si>
    <t>خالد عبدالله</t>
  </si>
  <si>
    <t>كريم السيد</t>
  </si>
  <si>
    <t>محمد أحمد</t>
  </si>
  <si>
    <t>هبة محمد</t>
  </si>
  <si>
    <t>أحمد أحمد</t>
  </si>
  <si>
    <t>مصطفى السيد</t>
  </si>
  <si>
    <t>شيماء أحمد</t>
  </si>
  <si>
    <t>أحمد عمر</t>
  </si>
  <si>
    <t>علي أحمد</t>
  </si>
  <si>
    <t>عمر إبراهيم</t>
  </si>
  <si>
    <t>ياسمين أحمد</t>
  </si>
  <si>
    <t>يوسف عمر</t>
  </si>
  <si>
    <t>خالد إبراهيم</t>
  </si>
  <si>
    <t>مريم أحمد</t>
  </si>
  <si>
    <t>شيماء السيد</t>
  </si>
  <si>
    <t>رنا عمر</t>
  </si>
  <si>
    <t>عمر السيد</t>
  </si>
  <si>
    <t>شيماء صالح</t>
  </si>
  <si>
    <t>أحمد صالح</t>
  </si>
  <si>
    <t>شيماء إبراهيم</t>
  </si>
  <si>
    <t>حسن عمر</t>
  </si>
  <si>
    <t>دينا عبدالله</t>
  </si>
  <si>
    <t>هبة السيد</t>
  </si>
  <si>
    <t>يوسف أحمد</t>
  </si>
  <si>
    <t>حسن السيد</t>
  </si>
  <si>
    <t>طارق حسين</t>
  </si>
  <si>
    <t>عمر عبدالله</t>
  </si>
  <si>
    <t>دينا صالح</t>
  </si>
  <si>
    <t>علي عبدالله</t>
  </si>
  <si>
    <t>سارة عبدالله</t>
  </si>
  <si>
    <t>مصطفى عمر</t>
  </si>
  <si>
    <t>سارة عمر</t>
  </si>
  <si>
    <t>كريم أحمد</t>
  </si>
  <si>
    <t>طارق أحمد</t>
  </si>
  <si>
    <t>أسماء عبدالله</t>
  </si>
  <si>
    <t>خالد يوسف</t>
  </si>
  <si>
    <t>أسماء إبراهيم</t>
  </si>
  <si>
    <t>مريم يوسف</t>
  </si>
  <si>
    <t>ياسمين صالح</t>
  </si>
  <si>
    <t>خالد عمر</t>
  </si>
  <si>
    <t>كريم علي</t>
  </si>
  <si>
    <t>مصطفى يوسف</t>
  </si>
  <si>
    <t>دينا يوسف</t>
  </si>
  <si>
    <t>أحمد عبدالله</t>
  </si>
  <si>
    <t>أسماء صالح</t>
  </si>
  <si>
    <t>شيماء محمد</t>
  </si>
  <si>
    <t>نورا محمد</t>
  </si>
  <si>
    <t>شيماء عمر</t>
  </si>
  <si>
    <t>محمد علي</t>
  </si>
  <si>
    <t>مصطفى صالح</t>
  </si>
  <si>
    <t>يوسف إبراهيم</t>
  </si>
  <si>
    <t>سارة أحمد</t>
  </si>
  <si>
    <t>ياسمين عبدالله</t>
  </si>
  <si>
    <t>تحليل شامل لـ 200 موظف عبر 7 أقسام | الرواتب — الأداء — التوزيع الجغرافي</t>
  </si>
  <si>
    <t>👤 إجمالي الموظفين</t>
  </si>
  <si>
    <t>💰 إجمالي الرواتب</t>
  </si>
  <si>
    <t>📊 متوسط صافي الراتب</t>
  </si>
  <si>
    <t>🏆 أعلى راتب</t>
  </si>
  <si>
    <t>🏢 تحليل الأقسام</t>
  </si>
  <si>
    <t>🎯 توزيع تقييمات الأداء</t>
  </si>
  <si>
    <t>عدد الموظفين</t>
  </si>
  <si>
    <t>متوسط الراتب الإجمالي</t>
  </si>
  <si>
    <t>إجمالي المكافآت</t>
  </si>
  <si>
    <t>التقييم</t>
  </si>
  <si>
    <t>متوسط الراتب</t>
  </si>
  <si>
    <t>⚖️ تحليل الفجوة بين الجنسين</t>
  </si>
  <si>
    <t>🌍 التوزيع الجغرافي</t>
  </si>
  <si>
    <t>متوسط سنوات الخبرة</t>
  </si>
  <si>
    <t>إجمالي الرواتب</t>
  </si>
  <si>
    <t>👥 لوحة تحليل رواتب الموظفين —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</si>
</sst>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ج.م&quot;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20"/>
      <color rgb="FFFFFFFF"/>
      <name val="Arial"/>
      <charset val="1"/>
    </font>
    <font>
      <i/>
      <sz val="11"/>
      <color rgb="FF2C3E50"/>
      <name val="Arial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C3E50"/>
      <name val="Arial"/>
      <charset val="1"/>
    </font>
    <font>
      <b/>
      <sz val="2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FFFFFF"/>
        <bgColor rgb="FFF4F6F7"/>
      </patternFill>
    </fill>
    <fill>
      <patternFill patternType="solid">
        <fgColor rgb="FFF4F6F7"/>
        <bgColor rgb="FFFFFFFF"/>
      </patternFill>
    </fill>
    <fill>
      <patternFill patternType="solid">
        <fgColor rgb="FFD6E4F7"/>
        <bgColor rgb="FFF4F6F7"/>
      </patternFill>
    </fill>
    <fill>
      <patternFill patternType="solid">
        <fgColor rgb="FF2E5DA8"/>
        <bgColor rgb="FF0D6E6E"/>
      </patternFill>
    </fill>
    <fill>
      <patternFill patternType="solid">
        <fgColor rgb="FF0D6E6E"/>
        <bgColor rgb="FF1A7A4A"/>
      </patternFill>
    </fill>
    <fill>
      <patternFill patternType="solid">
        <fgColor rgb="FF1A7A4A"/>
        <bgColor rgb="FF0D6E6E"/>
      </patternFill>
    </fill>
    <fill>
      <patternFill patternType="solid">
        <fgColor rgb="FFC75000"/>
        <bgColor rgb="FFFF66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8" borderId="0" xfId="0" applyFill="1" applyBorder="1"/>
    <xf numFmtId="0" fontId="0" fillId="7" borderId="0" xfId="0" applyFill="1" applyBorder="1"/>
    <xf numFmtId="0" fontId="0" fillId="6" borderId="0" xfId="0" applyFill="1" applyBorder="1"/>
    <xf numFmtId="0" fontId="0" fillId="2" borderId="0" xfId="0" applyFill="1" applyBorder="1"/>
    <xf numFmtId="164" fontId="5" fillId="8" borderId="0" xfId="0" applyNumberFormat="1" applyFont="1" applyFill="1" applyBorder="1" applyAlignment="1">
      <alignment horizontal="center" vertical="center"/>
    </xf>
    <xf numFmtId="164" fontId="5" fillId="7" borderId="0" xfId="0" applyNumberFormat="1" applyFont="1" applyFill="1" applyBorder="1" applyAlignment="1">
      <alignment horizontal="center" vertical="center"/>
    </xf>
    <xf numFmtId="164" fontId="5" fillId="6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E6E"/>
      <rgbColor rgb="FFCCCCCC"/>
      <rgbColor rgb="FF808080"/>
      <rgbColor rgb="FF9999FF"/>
      <rgbColor rgb="FF993366"/>
      <rgbColor rgb="FFF4F6F7"/>
      <rgbColor rgb="FFCCFFFF"/>
      <rgbColor rgb="FF660066"/>
      <rgbColor rgb="FFFF8080"/>
      <rgbColor rgb="FF2E5DA8"/>
      <rgbColor rgb="FFD6E4F7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750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0" customWidth="1"/>
    <col min="3" max="3" width="8" customWidth="1"/>
    <col min="4" max="4" width="16" customWidth="1"/>
    <col min="5" max="5" width="22" customWidth="1"/>
    <col min="6" max="6" width="14" customWidth="1"/>
    <col min="7" max="8" width="12" customWidth="1"/>
    <col min="9" max="9" width="14" customWidth="1"/>
    <col min="10" max="10" width="20" customWidth="1"/>
    <col min="11" max="11" width="18" customWidth="1"/>
    <col min="12" max="12" width="20" customWidth="1"/>
    <col min="13" max="13" width="18" customWidth="1"/>
    <col min="14" max="14" width="22" customWidth="1"/>
    <col min="15" max="15" width="18" customWidth="1"/>
    <col min="16" max="16" width="22" customWidth="1"/>
  </cols>
  <sheetData>
    <row r="1" spans="1:16" ht="36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5">
      <c r="A2" s="16">
        <v>1</v>
      </c>
      <c r="B2" s="16" t="s">
        <v>16</v>
      </c>
      <c r="C2" s="16" t="s">
        <v>17</v>
      </c>
      <c r="D2" s="16" t="s">
        <v>18</v>
      </c>
      <c r="E2" s="16" t="s">
        <v>19</v>
      </c>
      <c r="F2" s="16" t="s">
        <v>20</v>
      </c>
      <c r="G2" s="16" t="s">
        <v>21</v>
      </c>
      <c r="H2" s="16">
        <v>12</v>
      </c>
      <c r="I2" s="16" t="s">
        <v>22</v>
      </c>
      <c r="J2" s="17">
        <v>23766</v>
      </c>
      <c r="K2" s="17">
        <f t="shared" ref="K2:K33" si="0">J2*0.2</f>
        <v>4753.2</v>
      </c>
      <c r="L2" s="17">
        <f>500</f>
        <v>500</v>
      </c>
      <c r="M2" s="17">
        <f>J2*0.2</f>
        <v>4753.2</v>
      </c>
      <c r="N2" s="17">
        <f t="shared" ref="N2:N33" si="1">J2+K2+L2+M2</f>
        <v>33772.400000000001</v>
      </c>
      <c r="O2" s="17">
        <f t="shared" ref="O2:O33" si="2">IF(N2&gt;10000,N2*0.15,N2*0.1)</f>
        <v>5065.8599999999997</v>
      </c>
      <c r="P2" s="17">
        <f t="shared" ref="P2:P33" si="3">N2-O2</f>
        <v>28706.54</v>
      </c>
    </row>
    <row r="3" spans="1:16" x14ac:dyDescent="0.25">
      <c r="A3" s="18">
        <v>2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20</v>
      </c>
      <c r="G3" s="18" t="s">
        <v>27</v>
      </c>
      <c r="H3" s="18">
        <v>3</v>
      </c>
      <c r="I3" s="18" t="s">
        <v>28</v>
      </c>
      <c r="J3" s="19">
        <v>9697</v>
      </c>
      <c r="K3" s="19">
        <f t="shared" si="0"/>
        <v>1939.4</v>
      </c>
      <c r="L3" s="19">
        <f>500</f>
        <v>500</v>
      </c>
      <c r="M3" s="19">
        <f>J3*0</f>
        <v>0</v>
      </c>
      <c r="N3" s="19">
        <f t="shared" si="1"/>
        <v>12136.4</v>
      </c>
      <c r="O3" s="19">
        <f t="shared" si="2"/>
        <v>1820.4599999999998</v>
      </c>
      <c r="P3" s="19">
        <f t="shared" si="3"/>
        <v>10315.94</v>
      </c>
    </row>
    <row r="4" spans="1:16" x14ac:dyDescent="0.25">
      <c r="A4" s="16">
        <v>3</v>
      </c>
      <c r="B4" s="16" t="s">
        <v>29</v>
      </c>
      <c r="C4" s="16" t="s">
        <v>24</v>
      </c>
      <c r="D4" s="16" t="s">
        <v>30</v>
      </c>
      <c r="E4" s="16" t="s">
        <v>31</v>
      </c>
      <c r="F4" s="16" t="s">
        <v>32</v>
      </c>
      <c r="G4" s="16" t="s">
        <v>33</v>
      </c>
      <c r="H4" s="16">
        <v>2</v>
      </c>
      <c r="I4" s="16" t="s">
        <v>34</v>
      </c>
      <c r="J4" s="17">
        <v>11377</v>
      </c>
      <c r="K4" s="17">
        <f t="shared" si="0"/>
        <v>2275.4</v>
      </c>
      <c r="L4" s="17">
        <f>500</f>
        <v>500</v>
      </c>
      <c r="M4" s="17">
        <f>J4*0.12</f>
        <v>1365.24</v>
      </c>
      <c r="N4" s="17">
        <f t="shared" si="1"/>
        <v>15517.64</v>
      </c>
      <c r="O4" s="17">
        <f t="shared" si="2"/>
        <v>2327.6459999999997</v>
      </c>
      <c r="P4" s="17">
        <f t="shared" si="3"/>
        <v>13189.993999999999</v>
      </c>
    </row>
    <row r="5" spans="1:16" x14ac:dyDescent="0.25">
      <c r="A5" s="18">
        <v>4</v>
      </c>
      <c r="B5" s="18" t="s">
        <v>35</v>
      </c>
      <c r="C5" s="18" t="s">
        <v>24</v>
      </c>
      <c r="D5" s="18" t="s">
        <v>36</v>
      </c>
      <c r="E5" s="18" t="s">
        <v>37</v>
      </c>
      <c r="F5" s="18" t="s">
        <v>20</v>
      </c>
      <c r="G5" s="18" t="s">
        <v>38</v>
      </c>
      <c r="H5" s="18">
        <v>18</v>
      </c>
      <c r="I5" s="18" t="s">
        <v>34</v>
      </c>
      <c r="J5" s="19">
        <v>11331</v>
      </c>
      <c r="K5" s="19">
        <f t="shared" si="0"/>
        <v>2266.2000000000003</v>
      </c>
      <c r="L5" s="19">
        <f>500</f>
        <v>500</v>
      </c>
      <c r="M5" s="19">
        <f>J5*0.12</f>
        <v>1359.72</v>
      </c>
      <c r="N5" s="19">
        <f t="shared" si="1"/>
        <v>15456.92</v>
      </c>
      <c r="O5" s="19">
        <f t="shared" si="2"/>
        <v>2318.538</v>
      </c>
      <c r="P5" s="19">
        <f t="shared" si="3"/>
        <v>13138.382</v>
      </c>
    </row>
    <row r="6" spans="1:16" x14ac:dyDescent="0.25">
      <c r="A6" s="16">
        <v>5</v>
      </c>
      <c r="B6" s="16" t="s">
        <v>39</v>
      </c>
      <c r="C6" s="16" t="s">
        <v>24</v>
      </c>
      <c r="D6" s="16" t="s">
        <v>40</v>
      </c>
      <c r="E6" s="16" t="s">
        <v>41</v>
      </c>
      <c r="F6" s="16" t="s">
        <v>20</v>
      </c>
      <c r="G6" s="16" t="s">
        <v>21</v>
      </c>
      <c r="H6" s="16">
        <v>20</v>
      </c>
      <c r="I6" s="16" t="s">
        <v>34</v>
      </c>
      <c r="J6" s="17">
        <v>31542</v>
      </c>
      <c r="K6" s="17">
        <f t="shared" si="0"/>
        <v>6308.4000000000005</v>
      </c>
      <c r="L6" s="17">
        <f>500</f>
        <v>500</v>
      </c>
      <c r="M6" s="17">
        <f>J6*0.12</f>
        <v>3785.04</v>
      </c>
      <c r="N6" s="17">
        <f t="shared" si="1"/>
        <v>42135.44</v>
      </c>
      <c r="O6" s="17">
        <f t="shared" si="2"/>
        <v>6320.3159999999998</v>
      </c>
      <c r="P6" s="17">
        <f t="shared" si="3"/>
        <v>35815.124000000003</v>
      </c>
    </row>
    <row r="7" spans="1:16" x14ac:dyDescent="0.25">
      <c r="A7" s="18">
        <v>6</v>
      </c>
      <c r="B7" s="18" t="s">
        <v>42</v>
      </c>
      <c r="C7" s="18" t="s">
        <v>17</v>
      </c>
      <c r="D7" s="18" t="s">
        <v>40</v>
      </c>
      <c r="E7" s="18" t="s">
        <v>43</v>
      </c>
      <c r="F7" s="18" t="s">
        <v>44</v>
      </c>
      <c r="G7" s="18" t="s">
        <v>38</v>
      </c>
      <c r="H7" s="18">
        <v>8</v>
      </c>
      <c r="I7" s="18" t="s">
        <v>34</v>
      </c>
      <c r="J7" s="19">
        <v>17454</v>
      </c>
      <c r="K7" s="19">
        <f t="shared" si="0"/>
        <v>3490.8</v>
      </c>
      <c r="L7" s="19">
        <f>500</f>
        <v>500</v>
      </c>
      <c r="M7" s="19">
        <f>J7*0.12</f>
        <v>2094.48</v>
      </c>
      <c r="N7" s="19">
        <f t="shared" si="1"/>
        <v>23539.279999999999</v>
      </c>
      <c r="O7" s="19">
        <f t="shared" si="2"/>
        <v>3530.8919999999998</v>
      </c>
      <c r="P7" s="19">
        <f t="shared" si="3"/>
        <v>20008.387999999999</v>
      </c>
    </row>
    <row r="8" spans="1:16" x14ac:dyDescent="0.25">
      <c r="A8" s="16">
        <v>7</v>
      </c>
      <c r="B8" s="16" t="s">
        <v>45</v>
      </c>
      <c r="C8" s="16" t="s">
        <v>24</v>
      </c>
      <c r="D8" s="16" t="s">
        <v>46</v>
      </c>
      <c r="E8" s="16" t="s">
        <v>47</v>
      </c>
      <c r="F8" s="16" t="s">
        <v>48</v>
      </c>
      <c r="G8" s="16" t="s">
        <v>38</v>
      </c>
      <c r="H8" s="16">
        <v>15</v>
      </c>
      <c r="I8" s="16" t="s">
        <v>49</v>
      </c>
      <c r="J8" s="17">
        <v>24622</v>
      </c>
      <c r="K8" s="17">
        <f t="shared" si="0"/>
        <v>4924.4000000000005</v>
      </c>
      <c r="L8" s="17">
        <f>500</f>
        <v>500</v>
      </c>
      <c r="M8" s="17">
        <f>J8*0.06</f>
        <v>1477.32</v>
      </c>
      <c r="N8" s="17">
        <f t="shared" si="1"/>
        <v>31523.72</v>
      </c>
      <c r="O8" s="17">
        <f t="shared" si="2"/>
        <v>4728.558</v>
      </c>
      <c r="P8" s="17">
        <f t="shared" si="3"/>
        <v>26795.162</v>
      </c>
    </row>
    <row r="9" spans="1:16" x14ac:dyDescent="0.25">
      <c r="A9" s="18">
        <v>8</v>
      </c>
      <c r="B9" s="18" t="s">
        <v>50</v>
      </c>
      <c r="C9" s="18" t="s">
        <v>24</v>
      </c>
      <c r="D9" s="18" t="s">
        <v>25</v>
      </c>
      <c r="E9" s="18" t="s">
        <v>51</v>
      </c>
      <c r="F9" s="18" t="s">
        <v>44</v>
      </c>
      <c r="G9" s="18" t="s">
        <v>27</v>
      </c>
      <c r="H9" s="18">
        <v>16</v>
      </c>
      <c r="I9" s="18" t="s">
        <v>28</v>
      </c>
      <c r="J9" s="19">
        <v>22818</v>
      </c>
      <c r="K9" s="19">
        <f t="shared" si="0"/>
        <v>4563.6000000000004</v>
      </c>
      <c r="L9" s="19">
        <f>500</f>
        <v>500</v>
      </c>
      <c r="M9" s="19">
        <f>J9*0</f>
        <v>0</v>
      </c>
      <c r="N9" s="19">
        <f t="shared" si="1"/>
        <v>27881.599999999999</v>
      </c>
      <c r="O9" s="19">
        <f t="shared" si="2"/>
        <v>4182.24</v>
      </c>
      <c r="P9" s="19">
        <f t="shared" si="3"/>
        <v>23699.360000000001</v>
      </c>
    </row>
    <row r="10" spans="1:16" x14ac:dyDescent="0.25">
      <c r="A10" s="16">
        <v>9</v>
      </c>
      <c r="B10" s="16" t="s">
        <v>52</v>
      </c>
      <c r="C10" s="16" t="s">
        <v>24</v>
      </c>
      <c r="D10" s="16" t="s">
        <v>53</v>
      </c>
      <c r="E10" s="16" t="s">
        <v>54</v>
      </c>
      <c r="F10" s="16" t="s">
        <v>44</v>
      </c>
      <c r="G10" s="16" t="s">
        <v>38</v>
      </c>
      <c r="H10" s="16">
        <v>20</v>
      </c>
      <c r="I10" s="16" t="s">
        <v>28</v>
      </c>
      <c r="J10" s="17">
        <v>16093</v>
      </c>
      <c r="K10" s="17">
        <f t="shared" si="0"/>
        <v>3218.6000000000004</v>
      </c>
      <c r="L10" s="17">
        <f>500</f>
        <v>500</v>
      </c>
      <c r="M10" s="17">
        <f>J10*0</f>
        <v>0</v>
      </c>
      <c r="N10" s="17">
        <f t="shared" si="1"/>
        <v>19811.599999999999</v>
      </c>
      <c r="O10" s="17">
        <f t="shared" si="2"/>
        <v>2971.74</v>
      </c>
      <c r="P10" s="17">
        <f t="shared" si="3"/>
        <v>16839.86</v>
      </c>
    </row>
    <row r="11" spans="1:16" x14ac:dyDescent="0.25">
      <c r="A11" s="18">
        <v>10</v>
      </c>
      <c r="B11" s="18" t="s">
        <v>55</v>
      </c>
      <c r="C11" s="18" t="s">
        <v>17</v>
      </c>
      <c r="D11" s="18" t="s">
        <v>46</v>
      </c>
      <c r="E11" s="18" t="s">
        <v>56</v>
      </c>
      <c r="F11" s="18" t="s">
        <v>20</v>
      </c>
      <c r="G11" s="18" t="s">
        <v>21</v>
      </c>
      <c r="H11" s="18">
        <v>10</v>
      </c>
      <c r="I11" s="18" t="s">
        <v>28</v>
      </c>
      <c r="J11" s="19">
        <v>17481</v>
      </c>
      <c r="K11" s="19">
        <f t="shared" si="0"/>
        <v>3496.2000000000003</v>
      </c>
      <c r="L11" s="19">
        <f>500</f>
        <v>500</v>
      </c>
      <c r="M11" s="19">
        <f>J11*0</f>
        <v>0</v>
      </c>
      <c r="N11" s="19">
        <f t="shared" si="1"/>
        <v>21477.200000000001</v>
      </c>
      <c r="O11" s="19">
        <f t="shared" si="2"/>
        <v>3221.58</v>
      </c>
      <c r="P11" s="19">
        <f t="shared" si="3"/>
        <v>18255.620000000003</v>
      </c>
    </row>
    <row r="12" spans="1:16" x14ac:dyDescent="0.25">
      <c r="A12" s="16">
        <v>11</v>
      </c>
      <c r="B12" s="16" t="s">
        <v>57</v>
      </c>
      <c r="C12" s="16" t="s">
        <v>17</v>
      </c>
      <c r="D12" s="16" t="s">
        <v>25</v>
      </c>
      <c r="E12" s="16" t="s">
        <v>26</v>
      </c>
      <c r="F12" s="16" t="s">
        <v>58</v>
      </c>
      <c r="G12" s="16" t="s">
        <v>21</v>
      </c>
      <c r="H12" s="16">
        <v>16</v>
      </c>
      <c r="I12" s="16" t="s">
        <v>22</v>
      </c>
      <c r="J12" s="17">
        <v>12600</v>
      </c>
      <c r="K12" s="17">
        <f t="shared" si="0"/>
        <v>2520</v>
      </c>
      <c r="L12" s="17">
        <f>500</f>
        <v>500</v>
      </c>
      <c r="M12" s="17">
        <f>J12*0.2</f>
        <v>2520</v>
      </c>
      <c r="N12" s="17">
        <f t="shared" si="1"/>
        <v>18140</v>
      </c>
      <c r="O12" s="17">
        <f t="shared" si="2"/>
        <v>2721</v>
      </c>
      <c r="P12" s="17">
        <f t="shared" si="3"/>
        <v>15419</v>
      </c>
    </row>
    <row r="13" spans="1:16" x14ac:dyDescent="0.25">
      <c r="A13" s="18">
        <v>12</v>
      </c>
      <c r="B13" s="18" t="s">
        <v>59</v>
      </c>
      <c r="C13" s="18" t="s">
        <v>17</v>
      </c>
      <c r="D13" s="18" t="s">
        <v>25</v>
      </c>
      <c r="E13" s="18" t="s">
        <v>26</v>
      </c>
      <c r="F13" s="18" t="s">
        <v>48</v>
      </c>
      <c r="G13" s="18" t="s">
        <v>21</v>
      </c>
      <c r="H13" s="18">
        <v>6</v>
      </c>
      <c r="I13" s="18" t="s">
        <v>28</v>
      </c>
      <c r="J13" s="19">
        <v>11205</v>
      </c>
      <c r="K13" s="19">
        <f t="shared" si="0"/>
        <v>2241</v>
      </c>
      <c r="L13" s="19">
        <f>500</f>
        <v>500</v>
      </c>
      <c r="M13" s="19">
        <f>J13*0</f>
        <v>0</v>
      </c>
      <c r="N13" s="19">
        <f t="shared" si="1"/>
        <v>13946</v>
      </c>
      <c r="O13" s="19">
        <f t="shared" si="2"/>
        <v>2091.9</v>
      </c>
      <c r="P13" s="19">
        <f t="shared" si="3"/>
        <v>11854.1</v>
      </c>
    </row>
    <row r="14" spans="1:16" x14ac:dyDescent="0.25">
      <c r="A14" s="16">
        <v>13</v>
      </c>
      <c r="B14" s="16" t="s">
        <v>16</v>
      </c>
      <c r="C14" s="16" t="s">
        <v>17</v>
      </c>
      <c r="D14" s="16" t="s">
        <v>53</v>
      </c>
      <c r="E14" s="16" t="s">
        <v>60</v>
      </c>
      <c r="F14" s="16" t="s">
        <v>44</v>
      </c>
      <c r="G14" s="16" t="s">
        <v>33</v>
      </c>
      <c r="H14" s="16">
        <v>12</v>
      </c>
      <c r="I14" s="16" t="s">
        <v>28</v>
      </c>
      <c r="J14" s="17">
        <v>22606</v>
      </c>
      <c r="K14" s="17">
        <f t="shared" si="0"/>
        <v>4521.2</v>
      </c>
      <c r="L14" s="17">
        <f>500</f>
        <v>500</v>
      </c>
      <c r="M14" s="17">
        <f>J14*0</f>
        <v>0</v>
      </c>
      <c r="N14" s="17">
        <f t="shared" si="1"/>
        <v>27627.200000000001</v>
      </c>
      <c r="O14" s="17">
        <f t="shared" si="2"/>
        <v>4144.08</v>
      </c>
      <c r="P14" s="17">
        <f t="shared" si="3"/>
        <v>23483.120000000003</v>
      </c>
    </row>
    <row r="15" spans="1:16" x14ac:dyDescent="0.25">
      <c r="A15" s="18">
        <v>14</v>
      </c>
      <c r="B15" s="18" t="s">
        <v>61</v>
      </c>
      <c r="C15" s="18" t="s">
        <v>24</v>
      </c>
      <c r="D15" s="18" t="s">
        <v>36</v>
      </c>
      <c r="E15" s="18" t="s">
        <v>62</v>
      </c>
      <c r="F15" s="18" t="s">
        <v>58</v>
      </c>
      <c r="G15" s="18" t="s">
        <v>21</v>
      </c>
      <c r="H15" s="18">
        <v>16</v>
      </c>
      <c r="I15" s="18" t="s">
        <v>34</v>
      </c>
      <c r="J15" s="19">
        <v>25494</v>
      </c>
      <c r="K15" s="19">
        <f t="shared" si="0"/>
        <v>5098.8</v>
      </c>
      <c r="L15" s="19">
        <f>500</f>
        <v>500</v>
      </c>
      <c r="M15" s="19">
        <f>J15*0.12</f>
        <v>3059.2799999999997</v>
      </c>
      <c r="N15" s="19">
        <f t="shared" si="1"/>
        <v>34152.080000000002</v>
      </c>
      <c r="O15" s="19">
        <f t="shared" si="2"/>
        <v>5122.8119999999999</v>
      </c>
      <c r="P15" s="19">
        <f t="shared" si="3"/>
        <v>29029.268000000004</v>
      </c>
    </row>
    <row r="16" spans="1:16" x14ac:dyDescent="0.25">
      <c r="A16" s="16">
        <v>15</v>
      </c>
      <c r="B16" s="16" t="s">
        <v>63</v>
      </c>
      <c r="C16" s="16" t="s">
        <v>24</v>
      </c>
      <c r="D16" s="16" t="s">
        <v>40</v>
      </c>
      <c r="E16" s="16" t="s">
        <v>43</v>
      </c>
      <c r="F16" s="16" t="s">
        <v>32</v>
      </c>
      <c r="G16" s="16" t="s">
        <v>38</v>
      </c>
      <c r="H16" s="16">
        <v>5</v>
      </c>
      <c r="I16" s="16" t="s">
        <v>22</v>
      </c>
      <c r="J16" s="17">
        <v>15618</v>
      </c>
      <c r="K16" s="17">
        <f t="shared" si="0"/>
        <v>3123.6000000000004</v>
      </c>
      <c r="L16" s="17">
        <f>500</f>
        <v>500</v>
      </c>
      <c r="M16" s="17">
        <f>J16*0.2</f>
        <v>3123.6000000000004</v>
      </c>
      <c r="N16" s="17">
        <f t="shared" si="1"/>
        <v>22365.199999999997</v>
      </c>
      <c r="O16" s="17">
        <f t="shared" si="2"/>
        <v>3354.7799999999993</v>
      </c>
      <c r="P16" s="17">
        <f t="shared" si="3"/>
        <v>19010.419999999998</v>
      </c>
    </row>
    <row r="17" spans="1:16" x14ac:dyDescent="0.25">
      <c r="A17" s="18">
        <v>16</v>
      </c>
      <c r="B17" s="18" t="s">
        <v>64</v>
      </c>
      <c r="C17" s="18" t="s">
        <v>17</v>
      </c>
      <c r="D17" s="18" t="s">
        <v>25</v>
      </c>
      <c r="E17" s="18" t="s">
        <v>51</v>
      </c>
      <c r="F17" s="18" t="s">
        <v>48</v>
      </c>
      <c r="G17" s="18" t="s">
        <v>33</v>
      </c>
      <c r="H17" s="18">
        <v>2</v>
      </c>
      <c r="I17" s="18" t="s">
        <v>34</v>
      </c>
      <c r="J17" s="19">
        <v>18117</v>
      </c>
      <c r="K17" s="19">
        <f t="shared" si="0"/>
        <v>3623.4</v>
      </c>
      <c r="L17" s="19">
        <f>500</f>
        <v>500</v>
      </c>
      <c r="M17" s="19">
        <f>J17*0.12</f>
        <v>2174.04</v>
      </c>
      <c r="N17" s="19">
        <f t="shared" si="1"/>
        <v>24414.440000000002</v>
      </c>
      <c r="O17" s="19">
        <f t="shared" si="2"/>
        <v>3662.1660000000002</v>
      </c>
      <c r="P17" s="19">
        <f t="shared" si="3"/>
        <v>20752.274000000001</v>
      </c>
    </row>
    <row r="18" spans="1:16" x14ac:dyDescent="0.25">
      <c r="A18" s="16">
        <v>17</v>
      </c>
      <c r="B18" s="16" t="s">
        <v>65</v>
      </c>
      <c r="C18" s="16" t="s">
        <v>24</v>
      </c>
      <c r="D18" s="16" t="s">
        <v>30</v>
      </c>
      <c r="E18" s="16" t="s">
        <v>66</v>
      </c>
      <c r="F18" s="16" t="s">
        <v>32</v>
      </c>
      <c r="G18" s="16" t="s">
        <v>21</v>
      </c>
      <c r="H18" s="16">
        <v>4</v>
      </c>
      <c r="I18" s="16" t="s">
        <v>22</v>
      </c>
      <c r="J18" s="17">
        <v>8438</v>
      </c>
      <c r="K18" s="17">
        <f t="shared" si="0"/>
        <v>1687.6000000000001</v>
      </c>
      <c r="L18" s="17">
        <f>500</f>
        <v>500</v>
      </c>
      <c r="M18" s="17">
        <f>J18*0.2</f>
        <v>1687.6000000000001</v>
      </c>
      <c r="N18" s="17">
        <f t="shared" si="1"/>
        <v>12313.2</v>
      </c>
      <c r="O18" s="17">
        <f t="shared" si="2"/>
        <v>1846.98</v>
      </c>
      <c r="P18" s="17">
        <f t="shared" si="3"/>
        <v>10466.220000000001</v>
      </c>
    </row>
    <row r="19" spans="1:16" x14ac:dyDescent="0.25">
      <c r="A19" s="18">
        <v>18</v>
      </c>
      <c r="B19" s="18" t="s">
        <v>67</v>
      </c>
      <c r="C19" s="18" t="s">
        <v>24</v>
      </c>
      <c r="D19" s="18" t="s">
        <v>30</v>
      </c>
      <c r="E19" s="18" t="s">
        <v>68</v>
      </c>
      <c r="F19" s="18" t="s">
        <v>58</v>
      </c>
      <c r="G19" s="18" t="s">
        <v>33</v>
      </c>
      <c r="H19" s="18">
        <v>5</v>
      </c>
      <c r="I19" s="18" t="s">
        <v>49</v>
      </c>
      <c r="J19" s="19">
        <v>22550</v>
      </c>
      <c r="K19" s="19">
        <f t="shared" si="0"/>
        <v>4510</v>
      </c>
      <c r="L19" s="19">
        <f>500</f>
        <v>500</v>
      </c>
      <c r="M19" s="19">
        <f>J19*0.06</f>
        <v>1353</v>
      </c>
      <c r="N19" s="19">
        <f t="shared" si="1"/>
        <v>28913</v>
      </c>
      <c r="O19" s="19">
        <f t="shared" si="2"/>
        <v>4336.95</v>
      </c>
      <c r="P19" s="19">
        <f t="shared" si="3"/>
        <v>24576.05</v>
      </c>
    </row>
    <row r="20" spans="1:16" x14ac:dyDescent="0.25">
      <c r="A20" s="16">
        <v>19</v>
      </c>
      <c r="B20" s="16" t="s">
        <v>69</v>
      </c>
      <c r="C20" s="16" t="s">
        <v>17</v>
      </c>
      <c r="D20" s="16" t="s">
        <v>30</v>
      </c>
      <c r="E20" s="16" t="s">
        <v>66</v>
      </c>
      <c r="F20" s="16" t="s">
        <v>48</v>
      </c>
      <c r="G20" s="16" t="s">
        <v>33</v>
      </c>
      <c r="H20" s="16">
        <v>16</v>
      </c>
      <c r="I20" s="16" t="s">
        <v>49</v>
      </c>
      <c r="J20" s="17">
        <v>9123</v>
      </c>
      <c r="K20" s="17">
        <f t="shared" si="0"/>
        <v>1824.6000000000001</v>
      </c>
      <c r="L20" s="17">
        <f>500</f>
        <v>500</v>
      </c>
      <c r="M20" s="17">
        <f>J20*0.06</f>
        <v>547.38</v>
      </c>
      <c r="N20" s="17">
        <f t="shared" si="1"/>
        <v>11994.98</v>
      </c>
      <c r="O20" s="17">
        <f t="shared" si="2"/>
        <v>1799.2469999999998</v>
      </c>
      <c r="P20" s="17">
        <f t="shared" si="3"/>
        <v>10195.733</v>
      </c>
    </row>
    <row r="21" spans="1:16" x14ac:dyDescent="0.25">
      <c r="A21" s="18">
        <v>20</v>
      </c>
      <c r="B21" s="18" t="s">
        <v>70</v>
      </c>
      <c r="C21" s="18" t="s">
        <v>24</v>
      </c>
      <c r="D21" s="18" t="s">
        <v>25</v>
      </c>
      <c r="E21" s="18" t="s">
        <v>71</v>
      </c>
      <c r="F21" s="18" t="s">
        <v>58</v>
      </c>
      <c r="G21" s="18" t="s">
        <v>21</v>
      </c>
      <c r="H21" s="18">
        <v>7</v>
      </c>
      <c r="I21" s="18" t="s">
        <v>49</v>
      </c>
      <c r="J21" s="19">
        <v>13881</v>
      </c>
      <c r="K21" s="19">
        <f t="shared" si="0"/>
        <v>2776.2000000000003</v>
      </c>
      <c r="L21" s="19">
        <f>500</f>
        <v>500</v>
      </c>
      <c r="M21" s="19">
        <f>J21*0.06</f>
        <v>832.86</v>
      </c>
      <c r="N21" s="19">
        <f t="shared" si="1"/>
        <v>17990.060000000001</v>
      </c>
      <c r="O21" s="19">
        <f t="shared" si="2"/>
        <v>2698.509</v>
      </c>
      <c r="P21" s="19">
        <f t="shared" si="3"/>
        <v>15291.551000000001</v>
      </c>
    </row>
    <row r="22" spans="1:16" x14ac:dyDescent="0.25">
      <c r="A22" s="16">
        <v>21</v>
      </c>
      <c r="B22" s="16" t="s">
        <v>72</v>
      </c>
      <c r="C22" s="16" t="s">
        <v>24</v>
      </c>
      <c r="D22" s="16" t="s">
        <v>18</v>
      </c>
      <c r="E22" s="16" t="s">
        <v>19</v>
      </c>
      <c r="F22" s="16" t="s">
        <v>44</v>
      </c>
      <c r="G22" s="16" t="s">
        <v>38</v>
      </c>
      <c r="H22" s="16">
        <v>6</v>
      </c>
      <c r="I22" s="16" t="s">
        <v>49</v>
      </c>
      <c r="J22" s="17">
        <v>20810</v>
      </c>
      <c r="K22" s="17">
        <f t="shared" si="0"/>
        <v>4162</v>
      </c>
      <c r="L22" s="17">
        <f>500</f>
        <v>500</v>
      </c>
      <c r="M22" s="17">
        <f>J22*0.06</f>
        <v>1248.5999999999999</v>
      </c>
      <c r="N22" s="17">
        <f t="shared" si="1"/>
        <v>26720.6</v>
      </c>
      <c r="O22" s="17">
        <f t="shared" si="2"/>
        <v>4008.0899999999997</v>
      </c>
      <c r="P22" s="17">
        <f t="shared" si="3"/>
        <v>22712.51</v>
      </c>
    </row>
    <row r="23" spans="1:16" x14ac:dyDescent="0.25">
      <c r="A23" s="18">
        <v>22</v>
      </c>
      <c r="B23" s="18" t="s">
        <v>73</v>
      </c>
      <c r="C23" s="18" t="s">
        <v>17</v>
      </c>
      <c r="D23" s="18" t="s">
        <v>53</v>
      </c>
      <c r="E23" s="18" t="s">
        <v>74</v>
      </c>
      <c r="F23" s="18" t="s">
        <v>58</v>
      </c>
      <c r="G23" s="18" t="s">
        <v>33</v>
      </c>
      <c r="H23" s="18">
        <v>8</v>
      </c>
      <c r="I23" s="18" t="s">
        <v>34</v>
      </c>
      <c r="J23" s="19">
        <v>7762</v>
      </c>
      <c r="K23" s="19">
        <f t="shared" si="0"/>
        <v>1552.4</v>
      </c>
      <c r="L23" s="19">
        <f>500</f>
        <v>500</v>
      </c>
      <c r="M23" s="19">
        <f>J23*0.12</f>
        <v>931.43999999999994</v>
      </c>
      <c r="N23" s="19">
        <f t="shared" si="1"/>
        <v>10745.84</v>
      </c>
      <c r="O23" s="19">
        <f t="shared" si="2"/>
        <v>1611.876</v>
      </c>
      <c r="P23" s="19">
        <f t="shared" si="3"/>
        <v>9133.9639999999999</v>
      </c>
    </row>
    <row r="24" spans="1:16" x14ac:dyDescent="0.25">
      <c r="A24" s="16">
        <v>23</v>
      </c>
      <c r="B24" s="16" t="s">
        <v>75</v>
      </c>
      <c r="C24" s="16" t="s">
        <v>17</v>
      </c>
      <c r="D24" s="16" t="s">
        <v>53</v>
      </c>
      <c r="E24" s="16" t="s">
        <v>54</v>
      </c>
      <c r="F24" s="16" t="s">
        <v>48</v>
      </c>
      <c r="G24" s="16" t="s">
        <v>38</v>
      </c>
      <c r="H24" s="16">
        <v>7</v>
      </c>
      <c r="I24" s="16" t="s">
        <v>49</v>
      </c>
      <c r="J24" s="17">
        <v>12688</v>
      </c>
      <c r="K24" s="17">
        <f t="shared" si="0"/>
        <v>2537.6000000000004</v>
      </c>
      <c r="L24" s="17">
        <f>500</f>
        <v>500</v>
      </c>
      <c r="M24" s="17">
        <f>J24*0.06</f>
        <v>761.28</v>
      </c>
      <c r="N24" s="17">
        <f t="shared" si="1"/>
        <v>16486.88</v>
      </c>
      <c r="O24" s="17">
        <f t="shared" si="2"/>
        <v>2473.0320000000002</v>
      </c>
      <c r="P24" s="17">
        <f t="shared" si="3"/>
        <v>14013.848000000002</v>
      </c>
    </row>
    <row r="25" spans="1:16" x14ac:dyDescent="0.25">
      <c r="A25" s="18">
        <v>24</v>
      </c>
      <c r="B25" s="18" t="s">
        <v>76</v>
      </c>
      <c r="C25" s="18" t="s">
        <v>17</v>
      </c>
      <c r="D25" s="18" t="s">
        <v>36</v>
      </c>
      <c r="E25" s="18" t="s">
        <v>62</v>
      </c>
      <c r="F25" s="18" t="s">
        <v>58</v>
      </c>
      <c r="G25" s="18" t="s">
        <v>33</v>
      </c>
      <c r="H25" s="18">
        <v>7</v>
      </c>
      <c r="I25" s="18" t="s">
        <v>49</v>
      </c>
      <c r="J25" s="19">
        <v>21685</v>
      </c>
      <c r="K25" s="19">
        <f t="shared" si="0"/>
        <v>4337</v>
      </c>
      <c r="L25" s="19">
        <f>500</f>
        <v>500</v>
      </c>
      <c r="M25" s="19">
        <f>J25*0.06</f>
        <v>1301.0999999999999</v>
      </c>
      <c r="N25" s="19">
        <f t="shared" si="1"/>
        <v>27823.1</v>
      </c>
      <c r="O25" s="19">
        <f t="shared" si="2"/>
        <v>4173.4649999999992</v>
      </c>
      <c r="P25" s="19">
        <f t="shared" si="3"/>
        <v>23649.634999999998</v>
      </c>
    </row>
    <row r="26" spans="1:16" x14ac:dyDescent="0.25">
      <c r="A26" s="16">
        <v>25</v>
      </c>
      <c r="B26" s="16" t="s">
        <v>77</v>
      </c>
      <c r="C26" s="16" t="s">
        <v>24</v>
      </c>
      <c r="D26" s="16" t="s">
        <v>53</v>
      </c>
      <c r="E26" s="16" t="s">
        <v>60</v>
      </c>
      <c r="F26" s="16" t="s">
        <v>20</v>
      </c>
      <c r="G26" s="16" t="s">
        <v>21</v>
      </c>
      <c r="H26" s="16">
        <v>13</v>
      </c>
      <c r="I26" s="16" t="s">
        <v>34</v>
      </c>
      <c r="J26" s="17">
        <v>20553</v>
      </c>
      <c r="K26" s="17">
        <f t="shared" si="0"/>
        <v>4110.6000000000004</v>
      </c>
      <c r="L26" s="17">
        <f>500</f>
        <v>500</v>
      </c>
      <c r="M26" s="17">
        <f>J26*0.12</f>
        <v>2466.36</v>
      </c>
      <c r="N26" s="17">
        <f t="shared" si="1"/>
        <v>27629.96</v>
      </c>
      <c r="O26" s="17">
        <f t="shared" si="2"/>
        <v>4144.4939999999997</v>
      </c>
      <c r="P26" s="17">
        <f t="shared" si="3"/>
        <v>23485.466</v>
      </c>
    </row>
    <row r="27" spans="1:16" x14ac:dyDescent="0.25">
      <c r="A27" s="18">
        <v>26</v>
      </c>
      <c r="B27" s="18" t="s">
        <v>78</v>
      </c>
      <c r="C27" s="18" t="s">
        <v>24</v>
      </c>
      <c r="D27" s="18" t="s">
        <v>30</v>
      </c>
      <c r="E27" s="18" t="s">
        <v>31</v>
      </c>
      <c r="F27" s="18" t="s">
        <v>48</v>
      </c>
      <c r="G27" s="18" t="s">
        <v>33</v>
      </c>
      <c r="H27" s="18">
        <v>13</v>
      </c>
      <c r="I27" s="18" t="s">
        <v>22</v>
      </c>
      <c r="J27" s="19">
        <v>16348</v>
      </c>
      <c r="K27" s="19">
        <f t="shared" si="0"/>
        <v>3269.6000000000004</v>
      </c>
      <c r="L27" s="19">
        <f>500</f>
        <v>500</v>
      </c>
      <c r="M27" s="19">
        <f>J27*0.2</f>
        <v>3269.6000000000004</v>
      </c>
      <c r="N27" s="19">
        <f t="shared" si="1"/>
        <v>23387.199999999997</v>
      </c>
      <c r="O27" s="19">
        <f t="shared" si="2"/>
        <v>3508.0799999999995</v>
      </c>
      <c r="P27" s="19">
        <f t="shared" si="3"/>
        <v>19879.12</v>
      </c>
    </row>
    <row r="28" spans="1:16" x14ac:dyDescent="0.25">
      <c r="A28" s="16">
        <v>27</v>
      </c>
      <c r="B28" s="16" t="s">
        <v>79</v>
      </c>
      <c r="C28" s="16" t="s">
        <v>24</v>
      </c>
      <c r="D28" s="16" t="s">
        <v>36</v>
      </c>
      <c r="E28" s="16" t="s">
        <v>37</v>
      </c>
      <c r="F28" s="16" t="s">
        <v>48</v>
      </c>
      <c r="G28" s="16" t="s">
        <v>27</v>
      </c>
      <c r="H28" s="16">
        <v>20</v>
      </c>
      <c r="I28" s="16" t="s">
        <v>28</v>
      </c>
      <c r="J28" s="17">
        <v>13410</v>
      </c>
      <c r="K28" s="17">
        <f t="shared" si="0"/>
        <v>2682</v>
      </c>
      <c r="L28" s="17">
        <f>500</f>
        <v>500</v>
      </c>
      <c r="M28" s="17">
        <f>J28*0</f>
        <v>0</v>
      </c>
      <c r="N28" s="17">
        <f t="shared" si="1"/>
        <v>16592</v>
      </c>
      <c r="O28" s="17">
        <f t="shared" si="2"/>
        <v>2488.7999999999997</v>
      </c>
      <c r="P28" s="17">
        <f t="shared" si="3"/>
        <v>14103.2</v>
      </c>
    </row>
    <row r="29" spans="1:16" x14ac:dyDescent="0.25">
      <c r="A29" s="18">
        <v>28</v>
      </c>
      <c r="B29" s="18" t="s">
        <v>80</v>
      </c>
      <c r="C29" s="18" t="s">
        <v>17</v>
      </c>
      <c r="D29" s="18" t="s">
        <v>40</v>
      </c>
      <c r="E29" s="18" t="s">
        <v>81</v>
      </c>
      <c r="F29" s="18" t="s">
        <v>20</v>
      </c>
      <c r="G29" s="18" t="s">
        <v>21</v>
      </c>
      <c r="H29" s="18">
        <v>4</v>
      </c>
      <c r="I29" s="18" t="s">
        <v>34</v>
      </c>
      <c r="J29" s="19">
        <v>10891</v>
      </c>
      <c r="K29" s="19">
        <f t="shared" si="0"/>
        <v>2178.2000000000003</v>
      </c>
      <c r="L29" s="19">
        <f>500</f>
        <v>500</v>
      </c>
      <c r="M29" s="19">
        <f>J29*0.12</f>
        <v>1306.9199999999998</v>
      </c>
      <c r="N29" s="19">
        <f t="shared" si="1"/>
        <v>14876.12</v>
      </c>
      <c r="O29" s="19">
        <f t="shared" si="2"/>
        <v>2231.4180000000001</v>
      </c>
      <c r="P29" s="19">
        <f t="shared" si="3"/>
        <v>12644.702000000001</v>
      </c>
    </row>
    <row r="30" spans="1:16" x14ac:dyDescent="0.25">
      <c r="A30" s="16">
        <v>29</v>
      </c>
      <c r="B30" s="16" t="s">
        <v>82</v>
      </c>
      <c r="C30" s="16" t="s">
        <v>24</v>
      </c>
      <c r="D30" s="16" t="s">
        <v>46</v>
      </c>
      <c r="E30" s="16" t="s">
        <v>83</v>
      </c>
      <c r="F30" s="16" t="s">
        <v>44</v>
      </c>
      <c r="G30" s="16" t="s">
        <v>27</v>
      </c>
      <c r="H30" s="16">
        <v>19</v>
      </c>
      <c r="I30" s="16" t="s">
        <v>49</v>
      </c>
      <c r="J30" s="17">
        <v>29293</v>
      </c>
      <c r="K30" s="17">
        <f t="shared" si="0"/>
        <v>5858.6</v>
      </c>
      <c r="L30" s="17">
        <f>500</f>
        <v>500</v>
      </c>
      <c r="M30" s="17">
        <f>J30*0.06</f>
        <v>1757.58</v>
      </c>
      <c r="N30" s="17">
        <f t="shared" si="1"/>
        <v>37409.18</v>
      </c>
      <c r="O30" s="17">
        <f t="shared" si="2"/>
        <v>5611.3769999999995</v>
      </c>
      <c r="P30" s="17">
        <f t="shared" si="3"/>
        <v>31797.803</v>
      </c>
    </row>
    <row r="31" spans="1:16" x14ac:dyDescent="0.25">
      <c r="A31" s="18">
        <v>30</v>
      </c>
      <c r="B31" s="18" t="s">
        <v>84</v>
      </c>
      <c r="C31" s="18" t="s">
        <v>17</v>
      </c>
      <c r="D31" s="18" t="s">
        <v>18</v>
      </c>
      <c r="E31" s="18" t="s">
        <v>85</v>
      </c>
      <c r="F31" s="18" t="s">
        <v>48</v>
      </c>
      <c r="G31" s="18" t="s">
        <v>33</v>
      </c>
      <c r="H31" s="18">
        <v>17</v>
      </c>
      <c r="I31" s="18" t="s">
        <v>34</v>
      </c>
      <c r="J31" s="19">
        <v>12457</v>
      </c>
      <c r="K31" s="19">
        <f t="shared" si="0"/>
        <v>2491.4</v>
      </c>
      <c r="L31" s="19">
        <f>500</f>
        <v>500</v>
      </c>
      <c r="M31" s="19">
        <f>J31*0.12</f>
        <v>1494.84</v>
      </c>
      <c r="N31" s="19">
        <f t="shared" si="1"/>
        <v>16943.239999999998</v>
      </c>
      <c r="O31" s="19">
        <f t="shared" si="2"/>
        <v>2541.4859999999994</v>
      </c>
      <c r="P31" s="19">
        <f t="shared" si="3"/>
        <v>14401.753999999999</v>
      </c>
    </row>
    <row r="32" spans="1:16" x14ac:dyDescent="0.25">
      <c r="A32" s="16">
        <v>31</v>
      </c>
      <c r="B32" s="16" t="s">
        <v>65</v>
      </c>
      <c r="C32" s="16" t="s">
        <v>24</v>
      </c>
      <c r="D32" s="16" t="s">
        <v>40</v>
      </c>
      <c r="E32" s="16" t="s">
        <v>81</v>
      </c>
      <c r="F32" s="16" t="s">
        <v>58</v>
      </c>
      <c r="G32" s="16" t="s">
        <v>27</v>
      </c>
      <c r="H32" s="16">
        <v>5</v>
      </c>
      <c r="I32" s="16" t="s">
        <v>28</v>
      </c>
      <c r="J32" s="17">
        <v>11603</v>
      </c>
      <c r="K32" s="17">
        <f t="shared" si="0"/>
        <v>2320.6</v>
      </c>
      <c r="L32" s="17">
        <f>500</f>
        <v>500</v>
      </c>
      <c r="M32" s="17">
        <f>J32*0</f>
        <v>0</v>
      </c>
      <c r="N32" s="17">
        <f t="shared" si="1"/>
        <v>14423.6</v>
      </c>
      <c r="O32" s="17">
        <f t="shared" si="2"/>
        <v>2163.54</v>
      </c>
      <c r="P32" s="17">
        <f t="shared" si="3"/>
        <v>12260.060000000001</v>
      </c>
    </row>
    <row r="33" spans="1:16" x14ac:dyDescent="0.25">
      <c r="A33" s="18">
        <v>32</v>
      </c>
      <c r="B33" s="18" t="s">
        <v>86</v>
      </c>
      <c r="C33" s="18" t="s">
        <v>24</v>
      </c>
      <c r="D33" s="18" t="s">
        <v>46</v>
      </c>
      <c r="E33" s="18" t="s">
        <v>47</v>
      </c>
      <c r="F33" s="18" t="s">
        <v>32</v>
      </c>
      <c r="G33" s="18" t="s">
        <v>33</v>
      </c>
      <c r="H33" s="18">
        <v>4</v>
      </c>
      <c r="I33" s="18" t="s">
        <v>22</v>
      </c>
      <c r="J33" s="19">
        <v>18704</v>
      </c>
      <c r="K33" s="19">
        <f t="shared" si="0"/>
        <v>3740.8</v>
      </c>
      <c r="L33" s="19">
        <f>500</f>
        <v>500</v>
      </c>
      <c r="M33" s="19">
        <f>J33*0.2</f>
        <v>3740.8</v>
      </c>
      <c r="N33" s="19">
        <f t="shared" si="1"/>
        <v>26685.599999999999</v>
      </c>
      <c r="O33" s="19">
        <f t="shared" si="2"/>
        <v>4002.8399999999997</v>
      </c>
      <c r="P33" s="19">
        <f t="shared" si="3"/>
        <v>22682.76</v>
      </c>
    </row>
    <row r="34" spans="1:16" x14ac:dyDescent="0.25">
      <c r="A34" s="16">
        <v>33</v>
      </c>
      <c r="B34" s="16" t="s">
        <v>87</v>
      </c>
      <c r="C34" s="16" t="s">
        <v>17</v>
      </c>
      <c r="D34" s="16" t="s">
        <v>40</v>
      </c>
      <c r="E34" s="16" t="s">
        <v>43</v>
      </c>
      <c r="F34" s="16" t="s">
        <v>32</v>
      </c>
      <c r="G34" s="16" t="s">
        <v>21</v>
      </c>
      <c r="H34" s="16">
        <v>3</v>
      </c>
      <c r="I34" s="16" t="s">
        <v>28</v>
      </c>
      <c r="J34" s="17">
        <v>14564</v>
      </c>
      <c r="K34" s="17">
        <f t="shared" ref="K34:K65" si="4">J34*0.2</f>
        <v>2912.8</v>
      </c>
      <c r="L34" s="17">
        <f>500</f>
        <v>500</v>
      </c>
      <c r="M34" s="17">
        <f>J34*0</f>
        <v>0</v>
      </c>
      <c r="N34" s="17">
        <f t="shared" ref="N34:N65" si="5">J34+K34+L34+M34</f>
        <v>17976.8</v>
      </c>
      <c r="O34" s="17">
        <f t="shared" ref="O34:O65" si="6">IF(N34&gt;10000,N34*0.15,N34*0.1)</f>
        <v>2696.52</v>
      </c>
      <c r="P34" s="17">
        <f t="shared" ref="P34:P65" si="7">N34-O34</f>
        <v>15280.279999999999</v>
      </c>
    </row>
    <row r="35" spans="1:16" x14ac:dyDescent="0.25">
      <c r="A35" s="18">
        <v>34</v>
      </c>
      <c r="B35" s="18" t="s">
        <v>88</v>
      </c>
      <c r="C35" s="18" t="s">
        <v>24</v>
      </c>
      <c r="D35" s="18" t="s">
        <v>40</v>
      </c>
      <c r="E35" s="18" t="s">
        <v>41</v>
      </c>
      <c r="F35" s="18" t="s">
        <v>48</v>
      </c>
      <c r="G35" s="18" t="s">
        <v>27</v>
      </c>
      <c r="H35" s="18">
        <v>17</v>
      </c>
      <c r="I35" s="18" t="s">
        <v>49</v>
      </c>
      <c r="J35" s="19">
        <v>33333</v>
      </c>
      <c r="K35" s="19">
        <f t="shared" si="4"/>
        <v>6666.6</v>
      </c>
      <c r="L35" s="19">
        <f>500</f>
        <v>500</v>
      </c>
      <c r="M35" s="19">
        <f>J35*0.06</f>
        <v>1999.98</v>
      </c>
      <c r="N35" s="19">
        <f t="shared" si="5"/>
        <v>42499.58</v>
      </c>
      <c r="O35" s="19">
        <f t="shared" si="6"/>
        <v>6374.9369999999999</v>
      </c>
      <c r="P35" s="19">
        <f t="shared" si="7"/>
        <v>36124.643000000004</v>
      </c>
    </row>
    <row r="36" spans="1:16" x14ac:dyDescent="0.25">
      <c r="A36" s="16">
        <v>35</v>
      </c>
      <c r="B36" s="16" t="s">
        <v>65</v>
      </c>
      <c r="C36" s="16" t="s">
        <v>24</v>
      </c>
      <c r="D36" s="16" t="s">
        <v>25</v>
      </c>
      <c r="E36" s="16" t="s">
        <v>51</v>
      </c>
      <c r="F36" s="16" t="s">
        <v>48</v>
      </c>
      <c r="G36" s="16" t="s">
        <v>33</v>
      </c>
      <c r="H36" s="16">
        <v>11</v>
      </c>
      <c r="I36" s="16" t="s">
        <v>22</v>
      </c>
      <c r="J36" s="17">
        <v>24751</v>
      </c>
      <c r="K36" s="17">
        <f t="shared" si="4"/>
        <v>4950.2000000000007</v>
      </c>
      <c r="L36" s="17">
        <f>500</f>
        <v>500</v>
      </c>
      <c r="M36" s="17">
        <f>J36*0.2</f>
        <v>4950.2000000000007</v>
      </c>
      <c r="N36" s="17">
        <f t="shared" si="5"/>
        <v>35151.4</v>
      </c>
      <c r="O36" s="17">
        <f t="shared" si="6"/>
        <v>5272.71</v>
      </c>
      <c r="P36" s="17">
        <f t="shared" si="7"/>
        <v>29878.690000000002</v>
      </c>
    </row>
    <row r="37" spans="1:16" x14ac:dyDescent="0.25">
      <c r="A37" s="18">
        <v>36</v>
      </c>
      <c r="B37" s="18" t="s">
        <v>89</v>
      </c>
      <c r="C37" s="18" t="s">
        <v>17</v>
      </c>
      <c r="D37" s="18" t="s">
        <v>18</v>
      </c>
      <c r="E37" s="18" t="s">
        <v>85</v>
      </c>
      <c r="F37" s="18" t="s">
        <v>20</v>
      </c>
      <c r="G37" s="18" t="s">
        <v>27</v>
      </c>
      <c r="H37" s="18">
        <v>12</v>
      </c>
      <c r="I37" s="18" t="s">
        <v>34</v>
      </c>
      <c r="J37" s="19">
        <v>10750</v>
      </c>
      <c r="K37" s="19">
        <f t="shared" si="4"/>
        <v>2150</v>
      </c>
      <c r="L37" s="19">
        <f>500</f>
        <v>500</v>
      </c>
      <c r="M37" s="19">
        <f>J37*0.12</f>
        <v>1290</v>
      </c>
      <c r="N37" s="19">
        <f t="shared" si="5"/>
        <v>14690</v>
      </c>
      <c r="O37" s="19">
        <f t="shared" si="6"/>
        <v>2203.5</v>
      </c>
      <c r="P37" s="19">
        <f t="shared" si="7"/>
        <v>12486.5</v>
      </c>
    </row>
    <row r="38" spans="1:16" x14ac:dyDescent="0.25">
      <c r="A38" s="16">
        <v>37</v>
      </c>
      <c r="B38" s="16" t="s">
        <v>90</v>
      </c>
      <c r="C38" s="16" t="s">
        <v>24</v>
      </c>
      <c r="D38" s="16" t="s">
        <v>18</v>
      </c>
      <c r="E38" s="16" t="s">
        <v>19</v>
      </c>
      <c r="F38" s="16" t="s">
        <v>48</v>
      </c>
      <c r="G38" s="16" t="s">
        <v>33</v>
      </c>
      <c r="H38" s="16">
        <v>6</v>
      </c>
      <c r="I38" s="16" t="s">
        <v>34</v>
      </c>
      <c r="J38" s="17">
        <v>17905</v>
      </c>
      <c r="K38" s="17">
        <f t="shared" si="4"/>
        <v>3581</v>
      </c>
      <c r="L38" s="17">
        <f>500</f>
        <v>500</v>
      </c>
      <c r="M38" s="17">
        <f>J38*0.12</f>
        <v>2148.6</v>
      </c>
      <c r="N38" s="17">
        <f t="shared" si="5"/>
        <v>24134.6</v>
      </c>
      <c r="O38" s="17">
        <f t="shared" si="6"/>
        <v>3620.1899999999996</v>
      </c>
      <c r="P38" s="17">
        <f t="shared" si="7"/>
        <v>20514.41</v>
      </c>
    </row>
    <row r="39" spans="1:16" x14ac:dyDescent="0.25">
      <c r="A39" s="18">
        <v>38</v>
      </c>
      <c r="B39" s="18" t="s">
        <v>91</v>
      </c>
      <c r="C39" s="18" t="s">
        <v>17</v>
      </c>
      <c r="D39" s="18" t="s">
        <v>46</v>
      </c>
      <c r="E39" s="18" t="s">
        <v>56</v>
      </c>
      <c r="F39" s="18" t="s">
        <v>58</v>
      </c>
      <c r="G39" s="18" t="s">
        <v>38</v>
      </c>
      <c r="H39" s="18">
        <v>11</v>
      </c>
      <c r="I39" s="18" t="s">
        <v>22</v>
      </c>
      <c r="J39" s="19">
        <v>19774</v>
      </c>
      <c r="K39" s="19">
        <f t="shared" si="4"/>
        <v>3954.8</v>
      </c>
      <c r="L39" s="19">
        <f>500</f>
        <v>500</v>
      </c>
      <c r="M39" s="19">
        <f>J39*0.2</f>
        <v>3954.8</v>
      </c>
      <c r="N39" s="19">
        <f t="shared" si="5"/>
        <v>28183.599999999999</v>
      </c>
      <c r="O39" s="19">
        <f t="shared" si="6"/>
        <v>4227.54</v>
      </c>
      <c r="P39" s="19">
        <f t="shared" si="7"/>
        <v>23956.059999999998</v>
      </c>
    </row>
    <row r="40" spans="1:16" x14ac:dyDescent="0.25">
      <c r="A40" s="16">
        <v>39</v>
      </c>
      <c r="B40" s="16" t="s">
        <v>92</v>
      </c>
      <c r="C40" s="16" t="s">
        <v>24</v>
      </c>
      <c r="D40" s="16" t="s">
        <v>25</v>
      </c>
      <c r="E40" s="16" t="s">
        <v>26</v>
      </c>
      <c r="F40" s="16" t="s">
        <v>20</v>
      </c>
      <c r="G40" s="16" t="s">
        <v>33</v>
      </c>
      <c r="H40" s="16">
        <v>11</v>
      </c>
      <c r="I40" s="16" t="s">
        <v>49</v>
      </c>
      <c r="J40" s="17">
        <v>12542</v>
      </c>
      <c r="K40" s="17">
        <f t="shared" si="4"/>
        <v>2508.4</v>
      </c>
      <c r="L40" s="17">
        <f>500</f>
        <v>500</v>
      </c>
      <c r="M40" s="17">
        <f>J40*0.06</f>
        <v>752.52</v>
      </c>
      <c r="N40" s="17">
        <f t="shared" si="5"/>
        <v>16302.92</v>
      </c>
      <c r="O40" s="17">
        <f t="shared" si="6"/>
        <v>2445.4380000000001</v>
      </c>
      <c r="P40" s="17">
        <f t="shared" si="7"/>
        <v>13857.482</v>
      </c>
    </row>
    <row r="41" spans="1:16" x14ac:dyDescent="0.25">
      <c r="A41" s="18">
        <v>40</v>
      </c>
      <c r="B41" s="18" t="s">
        <v>93</v>
      </c>
      <c r="C41" s="18" t="s">
        <v>24</v>
      </c>
      <c r="D41" s="18" t="s">
        <v>30</v>
      </c>
      <c r="E41" s="18" t="s">
        <v>68</v>
      </c>
      <c r="F41" s="18" t="s">
        <v>44</v>
      </c>
      <c r="G41" s="18" t="s">
        <v>38</v>
      </c>
      <c r="H41" s="18">
        <v>2</v>
      </c>
      <c r="I41" s="18" t="s">
        <v>34</v>
      </c>
      <c r="J41" s="19">
        <v>18114</v>
      </c>
      <c r="K41" s="19">
        <f t="shared" si="4"/>
        <v>3622.8</v>
      </c>
      <c r="L41" s="19">
        <f>500</f>
        <v>500</v>
      </c>
      <c r="M41" s="19">
        <f>J41*0.12</f>
        <v>2173.6799999999998</v>
      </c>
      <c r="N41" s="19">
        <f t="shared" si="5"/>
        <v>24410.48</v>
      </c>
      <c r="O41" s="19">
        <f t="shared" si="6"/>
        <v>3661.5719999999997</v>
      </c>
      <c r="P41" s="19">
        <f t="shared" si="7"/>
        <v>20748.907999999999</v>
      </c>
    </row>
    <row r="42" spans="1:16" x14ac:dyDescent="0.25">
      <c r="A42" s="16">
        <v>41</v>
      </c>
      <c r="B42" s="16" t="s">
        <v>94</v>
      </c>
      <c r="C42" s="16" t="s">
        <v>24</v>
      </c>
      <c r="D42" s="16" t="s">
        <v>25</v>
      </c>
      <c r="E42" s="16" t="s">
        <v>51</v>
      </c>
      <c r="F42" s="16" t="s">
        <v>32</v>
      </c>
      <c r="G42" s="16" t="s">
        <v>33</v>
      </c>
      <c r="H42" s="16">
        <v>11</v>
      </c>
      <c r="I42" s="16" t="s">
        <v>22</v>
      </c>
      <c r="J42" s="17">
        <v>22479</v>
      </c>
      <c r="K42" s="17">
        <f t="shared" si="4"/>
        <v>4495.8</v>
      </c>
      <c r="L42" s="17">
        <f>500</f>
        <v>500</v>
      </c>
      <c r="M42" s="17">
        <f>J42*0.2</f>
        <v>4495.8</v>
      </c>
      <c r="N42" s="17">
        <f t="shared" si="5"/>
        <v>31970.6</v>
      </c>
      <c r="O42" s="17">
        <f t="shared" si="6"/>
        <v>4795.5899999999992</v>
      </c>
      <c r="P42" s="17">
        <f t="shared" si="7"/>
        <v>27175.01</v>
      </c>
    </row>
    <row r="43" spans="1:16" x14ac:dyDescent="0.25">
      <c r="A43" s="18">
        <v>42</v>
      </c>
      <c r="B43" s="18" t="s">
        <v>95</v>
      </c>
      <c r="C43" s="18" t="s">
        <v>24</v>
      </c>
      <c r="D43" s="18" t="s">
        <v>46</v>
      </c>
      <c r="E43" s="18" t="s">
        <v>83</v>
      </c>
      <c r="F43" s="18" t="s">
        <v>20</v>
      </c>
      <c r="G43" s="18" t="s">
        <v>38</v>
      </c>
      <c r="H43" s="18">
        <v>3</v>
      </c>
      <c r="I43" s="18" t="s">
        <v>34</v>
      </c>
      <c r="J43" s="19">
        <v>21376</v>
      </c>
      <c r="K43" s="19">
        <f t="shared" si="4"/>
        <v>4275.2</v>
      </c>
      <c r="L43" s="19">
        <f>500</f>
        <v>500</v>
      </c>
      <c r="M43" s="19">
        <f>J43*0.12</f>
        <v>2565.12</v>
      </c>
      <c r="N43" s="19">
        <f t="shared" si="5"/>
        <v>28716.32</v>
      </c>
      <c r="O43" s="19">
        <f t="shared" si="6"/>
        <v>4307.4479999999994</v>
      </c>
      <c r="P43" s="19">
        <f t="shared" si="7"/>
        <v>24408.871999999999</v>
      </c>
    </row>
    <row r="44" spans="1:16" x14ac:dyDescent="0.25">
      <c r="A44" s="16">
        <v>43</v>
      </c>
      <c r="B44" s="16" t="s">
        <v>96</v>
      </c>
      <c r="C44" s="16" t="s">
        <v>24</v>
      </c>
      <c r="D44" s="16" t="s">
        <v>46</v>
      </c>
      <c r="E44" s="16" t="s">
        <v>47</v>
      </c>
      <c r="F44" s="16" t="s">
        <v>48</v>
      </c>
      <c r="G44" s="16" t="s">
        <v>38</v>
      </c>
      <c r="H44" s="16">
        <v>20</v>
      </c>
      <c r="I44" s="16" t="s">
        <v>34</v>
      </c>
      <c r="J44" s="17">
        <v>22952</v>
      </c>
      <c r="K44" s="17">
        <f t="shared" si="4"/>
        <v>4590.4000000000005</v>
      </c>
      <c r="L44" s="17">
        <f>500</f>
        <v>500</v>
      </c>
      <c r="M44" s="17">
        <f>J44*0.12</f>
        <v>2754.24</v>
      </c>
      <c r="N44" s="17">
        <f t="shared" si="5"/>
        <v>30796.639999999999</v>
      </c>
      <c r="O44" s="17">
        <f t="shared" si="6"/>
        <v>4619.4960000000001</v>
      </c>
      <c r="P44" s="17">
        <f t="shared" si="7"/>
        <v>26177.144</v>
      </c>
    </row>
    <row r="45" spans="1:16" x14ac:dyDescent="0.25">
      <c r="A45" s="18">
        <v>44</v>
      </c>
      <c r="B45" s="18" t="s">
        <v>61</v>
      </c>
      <c r="C45" s="18" t="s">
        <v>24</v>
      </c>
      <c r="D45" s="18" t="s">
        <v>46</v>
      </c>
      <c r="E45" s="18" t="s">
        <v>83</v>
      </c>
      <c r="F45" s="18" t="s">
        <v>58</v>
      </c>
      <c r="G45" s="18" t="s">
        <v>27</v>
      </c>
      <c r="H45" s="18">
        <v>10</v>
      </c>
      <c r="I45" s="18" t="s">
        <v>49</v>
      </c>
      <c r="J45" s="19">
        <v>27265</v>
      </c>
      <c r="K45" s="19">
        <f t="shared" si="4"/>
        <v>5453</v>
      </c>
      <c r="L45" s="19">
        <f>500</f>
        <v>500</v>
      </c>
      <c r="M45" s="19">
        <f>J45*0.06</f>
        <v>1635.8999999999999</v>
      </c>
      <c r="N45" s="19">
        <f t="shared" si="5"/>
        <v>34853.9</v>
      </c>
      <c r="O45" s="19">
        <f t="shared" si="6"/>
        <v>5228.085</v>
      </c>
      <c r="P45" s="19">
        <f t="shared" si="7"/>
        <v>29625.815000000002</v>
      </c>
    </row>
    <row r="46" spans="1:16" x14ac:dyDescent="0.25">
      <c r="A46" s="16">
        <v>45</v>
      </c>
      <c r="B46" s="16" t="s">
        <v>88</v>
      </c>
      <c r="C46" s="16" t="s">
        <v>24</v>
      </c>
      <c r="D46" s="16" t="s">
        <v>40</v>
      </c>
      <c r="E46" s="16" t="s">
        <v>41</v>
      </c>
      <c r="F46" s="16" t="s">
        <v>58</v>
      </c>
      <c r="G46" s="16" t="s">
        <v>38</v>
      </c>
      <c r="H46" s="16">
        <v>12</v>
      </c>
      <c r="I46" s="16" t="s">
        <v>22</v>
      </c>
      <c r="J46" s="17">
        <v>31334</v>
      </c>
      <c r="K46" s="17">
        <f t="shared" si="4"/>
        <v>6266.8</v>
      </c>
      <c r="L46" s="17">
        <f>500</f>
        <v>500</v>
      </c>
      <c r="M46" s="17">
        <f>J46*0.2</f>
        <v>6266.8</v>
      </c>
      <c r="N46" s="17">
        <f t="shared" si="5"/>
        <v>44367.600000000006</v>
      </c>
      <c r="O46" s="17">
        <f t="shared" si="6"/>
        <v>6655.14</v>
      </c>
      <c r="P46" s="17">
        <f t="shared" si="7"/>
        <v>37712.460000000006</v>
      </c>
    </row>
    <row r="47" spans="1:16" x14ac:dyDescent="0.25">
      <c r="A47" s="18">
        <v>46</v>
      </c>
      <c r="B47" s="18" t="s">
        <v>97</v>
      </c>
      <c r="C47" s="18" t="s">
        <v>24</v>
      </c>
      <c r="D47" s="18" t="s">
        <v>18</v>
      </c>
      <c r="E47" s="18" t="s">
        <v>98</v>
      </c>
      <c r="F47" s="18" t="s">
        <v>32</v>
      </c>
      <c r="G47" s="18" t="s">
        <v>27</v>
      </c>
      <c r="H47" s="18">
        <v>17</v>
      </c>
      <c r="I47" s="18" t="s">
        <v>28</v>
      </c>
      <c r="J47" s="19">
        <v>13527</v>
      </c>
      <c r="K47" s="19">
        <f t="shared" si="4"/>
        <v>2705.4</v>
      </c>
      <c r="L47" s="19">
        <f>500</f>
        <v>500</v>
      </c>
      <c r="M47" s="19">
        <f>J47*0</f>
        <v>0</v>
      </c>
      <c r="N47" s="19">
        <f t="shared" si="5"/>
        <v>16732.400000000001</v>
      </c>
      <c r="O47" s="19">
        <f t="shared" si="6"/>
        <v>2509.86</v>
      </c>
      <c r="P47" s="19">
        <f t="shared" si="7"/>
        <v>14222.54</v>
      </c>
    </row>
    <row r="48" spans="1:16" x14ac:dyDescent="0.25">
      <c r="A48" s="16">
        <v>47</v>
      </c>
      <c r="B48" s="16" t="s">
        <v>99</v>
      </c>
      <c r="C48" s="16" t="s">
        <v>17</v>
      </c>
      <c r="D48" s="16" t="s">
        <v>18</v>
      </c>
      <c r="E48" s="16" t="s">
        <v>85</v>
      </c>
      <c r="F48" s="16" t="s">
        <v>32</v>
      </c>
      <c r="G48" s="16" t="s">
        <v>33</v>
      </c>
      <c r="H48" s="16">
        <v>17</v>
      </c>
      <c r="I48" s="16" t="s">
        <v>49</v>
      </c>
      <c r="J48" s="17">
        <v>12928</v>
      </c>
      <c r="K48" s="17">
        <f t="shared" si="4"/>
        <v>2585.6000000000004</v>
      </c>
      <c r="L48" s="17">
        <f>500</f>
        <v>500</v>
      </c>
      <c r="M48" s="17">
        <f>J48*0.06</f>
        <v>775.68</v>
      </c>
      <c r="N48" s="17">
        <f t="shared" si="5"/>
        <v>16789.28</v>
      </c>
      <c r="O48" s="17">
        <f t="shared" si="6"/>
        <v>2518.3919999999998</v>
      </c>
      <c r="P48" s="17">
        <f t="shared" si="7"/>
        <v>14270.887999999999</v>
      </c>
    </row>
    <row r="49" spans="1:16" x14ac:dyDescent="0.25">
      <c r="A49" s="18">
        <v>48</v>
      </c>
      <c r="B49" s="18" t="s">
        <v>100</v>
      </c>
      <c r="C49" s="18" t="s">
        <v>24</v>
      </c>
      <c r="D49" s="18" t="s">
        <v>53</v>
      </c>
      <c r="E49" s="18" t="s">
        <v>60</v>
      </c>
      <c r="F49" s="18" t="s">
        <v>58</v>
      </c>
      <c r="G49" s="18" t="s">
        <v>33</v>
      </c>
      <c r="H49" s="18">
        <v>12</v>
      </c>
      <c r="I49" s="18" t="s">
        <v>22</v>
      </c>
      <c r="J49" s="19">
        <v>22007</v>
      </c>
      <c r="K49" s="19">
        <f t="shared" si="4"/>
        <v>4401.4000000000005</v>
      </c>
      <c r="L49" s="19">
        <f>500</f>
        <v>500</v>
      </c>
      <c r="M49" s="19">
        <f>J49*0.2</f>
        <v>4401.4000000000005</v>
      </c>
      <c r="N49" s="19">
        <f t="shared" si="5"/>
        <v>31309.800000000003</v>
      </c>
      <c r="O49" s="19">
        <f t="shared" si="6"/>
        <v>4696.47</v>
      </c>
      <c r="P49" s="19">
        <f t="shared" si="7"/>
        <v>26613.33</v>
      </c>
    </row>
    <row r="50" spans="1:16" x14ac:dyDescent="0.25">
      <c r="A50" s="16">
        <v>49</v>
      </c>
      <c r="B50" s="16" t="s">
        <v>101</v>
      </c>
      <c r="C50" s="16" t="s">
        <v>24</v>
      </c>
      <c r="D50" s="16" t="s">
        <v>25</v>
      </c>
      <c r="E50" s="16" t="s">
        <v>51</v>
      </c>
      <c r="F50" s="16" t="s">
        <v>20</v>
      </c>
      <c r="G50" s="16" t="s">
        <v>21</v>
      </c>
      <c r="H50" s="16">
        <v>13</v>
      </c>
      <c r="I50" s="16" t="s">
        <v>49</v>
      </c>
      <c r="J50" s="17">
        <v>25130</v>
      </c>
      <c r="K50" s="17">
        <f t="shared" si="4"/>
        <v>5026</v>
      </c>
      <c r="L50" s="17">
        <f>500</f>
        <v>500</v>
      </c>
      <c r="M50" s="17">
        <f>J50*0.06</f>
        <v>1507.8</v>
      </c>
      <c r="N50" s="17">
        <f t="shared" si="5"/>
        <v>32163.8</v>
      </c>
      <c r="O50" s="17">
        <f t="shared" si="6"/>
        <v>4824.57</v>
      </c>
      <c r="P50" s="17">
        <f t="shared" si="7"/>
        <v>27339.23</v>
      </c>
    </row>
    <row r="51" spans="1:16" x14ac:dyDescent="0.25">
      <c r="A51" s="18">
        <v>50</v>
      </c>
      <c r="B51" s="18" t="s">
        <v>102</v>
      </c>
      <c r="C51" s="18" t="s">
        <v>17</v>
      </c>
      <c r="D51" s="18" t="s">
        <v>36</v>
      </c>
      <c r="E51" s="18" t="s">
        <v>62</v>
      </c>
      <c r="F51" s="18" t="s">
        <v>44</v>
      </c>
      <c r="G51" s="18" t="s">
        <v>33</v>
      </c>
      <c r="H51" s="18">
        <v>1</v>
      </c>
      <c r="I51" s="18" t="s">
        <v>49</v>
      </c>
      <c r="J51" s="19">
        <v>20217</v>
      </c>
      <c r="K51" s="19">
        <f t="shared" si="4"/>
        <v>4043.4</v>
      </c>
      <c r="L51" s="19">
        <f>500</f>
        <v>500</v>
      </c>
      <c r="M51" s="19">
        <f>J51*0.06</f>
        <v>1213.02</v>
      </c>
      <c r="N51" s="19">
        <f t="shared" si="5"/>
        <v>25973.420000000002</v>
      </c>
      <c r="O51" s="19">
        <f t="shared" si="6"/>
        <v>3896.0129999999999</v>
      </c>
      <c r="P51" s="19">
        <f t="shared" si="7"/>
        <v>22077.407000000003</v>
      </c>
    </row>
    <row r="52" spans="1:16" x14ac:dyDescent="0.25">
      <c r="A52" s="16">
        <v>51</v>
      </c>
      <c r="B52" s="16" t="s">
        <v>103</v>
      </c>
      <c r="C52" s="16" t="s">
        <v>17</v>
      </c>
      <c r="D52" s="16" t="s">
        <v>36</v>
      </c>
      <c r="E52" s="16" t="s">
        <v>62</v>
      </c>
      <c r="F52" s="16" t="s">
        <v>44</v>
      </c>
      <c r="G52" s="16" t="s">
        <v>27</v>
      </c>
      <c r="H52" s="16">
        <v>12</v>
      </c>
      <c r="I52" s="16" t="s">
        <v>34</v>
      </c>
      <c r="J52" s="17">
        <v>22327</v>
      </c>
      <c r="K52" s="17">
        <f t="shared" si="4"/>
        <v>4465.4000000000005</v>
      </c>
      <c r="L52" s="17">
        <f>500</f>
        <v>500</v>
      </c>
      <c r="M52" s="17">
        <f>J52*0.12</f>
        <v>2679.24</v>
      </c>
      <c r="N52" s="17">
        <f t="shared" si="5"/>
        <v>29971.64</v>
      </c>
      <c r="O52" s="17">
        <f t="shared" si="6"/>
        <v>4495.7460000000001</v>
      </c>
      <c r="P52" s="17">
        <f t="shared" si="7"/>
        <v>25475.894</v>
      </c>
    </row>
    <row r="53" spans="1:16" x14ac:dyDescent="0.25">
      <c r="A53" s="18">
        <v>52</v>
      </c>
      <c r="B53" s="18" t="s">
        <v>104</v>
      </c>
      <c r="C53" s="18" t="s">
        <v>17</v>
      </c>
      <c r="D53" s="18" t="s">
        <v>46</v>
      </c>
      <c r="E53" s="18" t="s">
        <v>47</v>
      </c>
      <c r="F53" s="18" t="s">
        <v>58</v>
      </c>
      <c r="G53" s="18" t="s">
        <v>27</v>
      </c>
      <c r="H53" s="18">
        <v>17</v>
      </c>
      <c r="I53" s="18" t="s">
        <v>22</v>
      </c>
      <c r="J53" s="19">
        <v>22256</v>
      </c>
      <c r="K53" s="19">
        <f t="shared" si="4"/>
        <v>4451.2</v>
      </c>
      <c r="L53" s="19">
        <f>500</f>
        <v>500</v>
      </c>
      <c r="M53" s="19">
        <f>J53*0.2</f>
        <v>4451.2</v>
      </c>
      <c r="N53" s="19">
        <f t="shared" si="5"/>
        <v>31658.400000000001</v>
      </c>
      <c r="O53" s="19">
        <f t="shared" si="6"/>
        <v>4748.76</v>
      </c>
      <c r="P53" s="19">
        <f t="shared" si="7"/>
        <v>26909.64</v>
      </c>
    </row>
    <row r="54" spans="1:16" x14ac:dyDescent="0.25">
      <c r="A54" s="16">
        <v>53</v>
      </c>
      <c r="B54" s="16" t="s">
        <v>63</v>
      </c>
      <c r="C54" s="16" t="s">
        <v>24</v>
      </c>
      <c r="D54" s="16" t="s">
        <v>40</v>
      </c>
      <c r="E54" s="16" t="s">
        <v>81</v>
      </c>
      <c r="F54" s="16" t="s">
        <v>48</v>
      </c>
      <c r="G54" s="16" t="s">
        <v>21</v>
      </c>
      <c r="H54" s="16">
        <v>10</v>
      </c>
      <c r="I54" s="16" t="s">
        <v>49</v>
      </c>
      <c r="J54" s="17">
        <v>12689</v>
      </c>
      <c r="K54" s="17">
        <f t="shared" si="4"/>
        <v>2537.8000000000002</v>
      </c>
      <c r="L54" s="17">
        <f>500</f>
        <v>500</v>
      </c>
      <c r="M54" s="17">
        <f>J54*0.06</f>
        <v>761.33999999999992</v>
      </c>
      <c r="N54" s="17">
        <f t="shared" si="5"/>
        <v>16488.14</v>
      </c>
      <c r="O54" s="17">
        <f t="shared" si="6"/>
        <v>2473.221</v>
      </c>
      <c r="P54" s="17">
        <f t="shared" si="7"/>
        <v>14014.919</v>
      </c>
    </row>
    <row r="55" spans="1:16" x14ac:dyDescent="0.25">
      <c r="A55" s="18">
        <v>54</v>
      </c>
      <c r="B55" s="18" t="s">
        <v>105</v>
      </c>
      <c r="C55" s="18" t="s">
        <v>24</v>
      </c>
      <c r="D55" s="18" t="s">
        <v>53</v>
      </c>
      <c r="E55" s="18" t="s">
        <v>74</v>
      </c>
      <c r="F55" s="18" t="s">
        <v>32</v>
      </c>
      <c r="G55" s="18" t="s">
        <v>33</v>
      </c>
      <c r="H55" s="18">
        <v>11</v>
      </c>
      <c r="I55" s="18" t="s">
        <v>28</v>
      </c>
      <c r="J55" s="19">
        <v>7433</v>
      </c>
      <c r="K55" s="19">
        <f t="shared" si="4"/>
        <v>1486.6000000000001</v>
      </c>
      <c r="L55" s="19">
        <f>500</f>
        <v>500</v>
      </c>
      <c r="M55" s="19">
        <f>J55*0</f>
        <v>0</v>
      </c>
      <c r="N55" s="19">
        <f t="shared" si="5"/>
        <v>9419.6</v>
      </c>
      <c r="O55" s="19">
        <f t="shared" si="6"/>
        <v>941.96</v>
      </c>
      <c r="P55" s="19">
        <f t="shared" si="7"/>
        <v>8477.64</v>
      </c>
    </row>
    <row r="56" spans="1:16" x14ac:dyDescent="0.25">
      <c r="A56" s="16">
        <v>55</v>
      </c>
      <c r="B56" s="16" t="s">
        <v>106</v>
      </c>
      <c r="C56" s="16" t="s">
        <v>24</v>
      </c>
      <c r="D56" s="16" t="s">
        <v>18</v>
      </c>
      <c r="E56" s="16" t="s">
        <v>85</v>
      </c>
      <c r="F56" s="16" t="s">
        <v>32</v>
      </c>
      <c r="G56" s="16" t="s">
        <v>27</v>
      </c>
      <c r="H56" s="16">
        <v>17</v>
      </c>
      <c r="I56" s="16" t="s">
        <v>22</v>
      </c>
      <c r="J56" s="17">
        <v>13346</v>
      </c>
      <c r="K56" s="17">
        <f t="shared" si="4"/>
        <v>2669.2000000000003</v>
      </c>
      <c r="L56" s="17">
        <f>500</f>
        <v>500</v>
      </c>
      <c r="M56" s="17">
        <f>J56*0.2</f>
        <v>2669.2000000000003</v>
      </c>
      <c r="N56" s="17">
        <f t="shared" si="5"/>
        <v>19184.400000000001</v>
      </c>
      <c r="O56" s="17">
        <f t="shared" si="6"/>
        <v>2877.6600000000003</v>
      </c>
      <c r="P56" s="17">
        <f t="shared" si="7"/>
        <v>16306.740000000002</v>
      </c>
    </row>
    <row r="57" spans="1:16" x14ac:dyDescent="0.25">
      <c r="A57" s="18">
        <v>56</v>
      </c>
      <c r="B57" s="18" t="s">
        <v>107</v>
      </c>
      <c r="C57" s="18" t="s">
        <v>24</v>
      </c>
      <c r="D57" s="18" t="s">
        <v>30</v>
      </c>
      <c r="E57" s="18" t="s">
        <v>68</v>
      </c>
      <c r="F57" s="18" t="s">
        <v>44</v>
      </c>
      <c r="G57" s="18" t="s">
        <v>21</v>
      </c>
      <c r="H57" s="18">
        <v>13</v>
      </c>
      <c r="I57" s="18" t="s">
        <v>28</v>
      </c>
      <c r="J57" s="19">
        <v>23579</v>
      </c>
      <c r="K57" s="19">
        <f t="shared" si="4"/>
        <v>4715.8</v>
      </c>
      <c r="L57" s="19">
        <f>500</f>
        <v>500</v>
      </c>
      <c r="M57" s="19">
        <f>J57*0</f>
        <v>0</v>
      </c>
      <c r="N57" s="19">
        <f t="shared" si="5"/>
        <v>28794.799999999999</v>
      </c>
      <c r="O57" s="19">
        <f t="shared" si="6"/>
        <v>4319.2199999999993</v>
      </c>
      <c r="P57" s="19">
        <f t="shared" si="7"/>
        <v>24475.58</v>
      </c>
    </row>
    <row r="58" spans="1:16" x14ac:dyDescent="0.25">
      <c r="A58" s="16">
        <v>57</v>
      </c>
      <c r="B58" s="16" t="s">
        <v>108</v>
      </c>
      <c r="C58" s="16" t="s">
        <v>24</v>
      </c>
      <c r="D58" s="16" t="s">
        <v>25</v>
      </c>
      <c r="E58" s="16" t="s">
        <v>26</v>
      </c>
      <c r="F58" s="16" t="s">
        <v>20</v>
      </c>
      <c r="G58" s="16" t="s">
        <v>33</v>
      </c>
      <c r="H58" s="16">
        <v>3</v>
      </c>
      <c r="I58" s="16" t="s">
        <v>22</v>
      </c>
      <c r="J58" s="17">
        <v>11287</v>
      </c>
      <c r="K58" s="17">
        <f t="shared" si="4"/>
        <v>2257.4</v>
      </c>
      <c r="L58" s="17">
        <f>500</f>
        <v>500</v>
      </c>
      <c r="M58" s="17">
        <f>J58*0.2</f>
        <v>2257.4</v>
      </c>
      <c r="N58" s="17">
        <f t="shared" si="5"/>
        <v>16301.8</v>
      </c>
      <c r="O58" s="17">
        <f t="shared" si="6"/>
        <v>2445.27</v>
      </c>
      <c r="P58" s="17">
        <f t="shared" si="7"/>
        <v>13856.529999999999</v>
      </c>
    </row>
    <row r="59" spans="1:16" x14ac:dyDescent="0.25">
      <c r="A59" s="18">
        <v>58</v>
      </c>
      <c r="B59" s="18" t="s">
        <v>109</v>
      </c>
      <c r="C59" s="18" t="s">
        <v>24</v>
      </c>
      <c r="D59" s="18" t="s">
        <v>53</v>
      </c>
      <c r="E59" s="18" t="s">
        <v>74</v>
      </c>
      <c r="F59" s="18" t="s">
        <v>44</v>
      </c>
      <c r="G59" s="18" t="s">
        <v>27</v>
      </c>
      <c r="H59" s="18">
        <v>7</v>
      </c>
      <c r="I59" s="18" t="s">
        <v>34</v>
      </c>
      <c r="J59" s="19">
        <v>8040</v>
      </c>
      <c r="K59" s="19">
        <f t="shared" si="4"/>
        <v>1608</v>
      </c>
      <c r="L59" s="19">
        <f>500</f>
        <v>500</v>
      </c>
      <c r="M59" s="19">
        <f>J59*0.12</f>
        <v>964.8</v>
      </c>
      <c r="N59" s="19">
        <f t="shared" si="5"/>
        <v>11112.8</v>
      </c>
      <c r="O59" s="19">
        <f t="shared" si="6"/>
        <v>1666.9199999999998</v>
      </c>
      <c r="P59" s="19">
        <f t="shared" si="7"/>
        <v>9445.8799999999992</v>
      </c>
    </row>
    <row r="60" spans="1:16" x14ac:dyDescent="0.25">
      <c r="A60" s="16">
        <v>59</v>
      </c>
      <c r="B60" s="16" t="s">
        <v>110</v>
      </c>
      <c r="C60" s="16" t="s">
        <v>17</v>
      </c>
      <c r="D60" s="16" t="s">
        <v>30</v>
      </c>
      <c r="E60" s="16" t="s">
        <v>66</v>
      </c>
      <c r="F60" s="16" t="s">
        <v>44</v>
      </c>
      <c r="G60" s="16" t="s">
        <v>21</v>
      </c>
      <c r="H60" s="16">
        <v>20</v>
      </c>
      <c r="I60" s="16" t="s">
        <v>34</v>
      </c>
      <c r="J60" s="17">
        <v>9653</v>
      </c>
      <c r="K60" s="17">
        <f t="shared" si="4"/>
        <v>1930.6000000000001</v>
      </c>
      <c r="L60" s="17">
        <f>500</f>
        <v>500</v>
      </c>
      <c r="M60" s="17">
        <f>J60*0.12</f>
        <v>1158.3599999999999</v>
      </c>
      <c r="N60" s="17">
        <f t="shared" si="5"/>
        <v>13241.960000000001</v>
      </c>
      <c r="O60" s="17">
        <f t="shared" si="6"/>
        <v>1986.2940000000001</v>
      </c>
      <c r="P60" s="17">
        <f t="shared" si="7"/>
        <v>11255.666000000001</v>
      </c>
    </row>
    <row r="61" spans="1:16" x14ac:dyDescent="0.25">
      <c r="A61" s="18">
        <v>60</v>
      </c>
      <c r="B61" s="18" t="s">
        <v>70</v>
      </c>
      <c r="C61" s="18" t="s">
        <v>24</v>
      </c>
      <c r="D61" s="18" t="s">
        <v>18</v>
      </c>
      <c r="E61" s="18" t="s">
        <v>98</v>
      </c>
      <c r="F61" s="18" t="s">
        <v>44</v>
      </c>
      <c r="G61" s="18" t="s">
        <v>27</v>
      </c>
      <c r="H61" s="18">
        <v>1</v>
      </c>
      <c r="I61" s="18" t="s">
        <v>28</v>
      </c>
      <c r="J61" s="19">
        <v>9801</v>
      </c>
      <c r="K61" s="19">
        <f t="shared" si="4"/>
        <v>1960.2</v>
      </c>
      <c r="L61" s="19">
        <f>500</f>
        <v>500</v>
      </c>
      <c r="M61" s="19">
        <f>J61*0</f>
        <v>0</v>
      </c>
      <c r="N61" s="19">
        <f t="shared" si="5"/>
        <v>12261.2</v>
      </c>
      <c r="O61" s="19">
        <f t="shared" si="6"/>
        <v>1839.18</v>
      </c>
      <c r="P61" s="19">
        <f t="shared" si="7"/>
        <v>10422.02</v>
      </c>
    </row>
    <row r="62" spans="1:16" x14ac:dyDescent="0.25">
      <c r="A62" s="16">
        <v>61</v>
      </c>
      <c r="B62" s="16" t="s">
        <v>89</v>
      </c>
      <c r="C62" s="16" t="s">
        <v>17</v>
      </c>
      <c r="D62" s="16" t="s">
        <v>18</v>
      </c>
      <c r="E62" s="16" t="s">
        <v>85</v>
      </c>
      <c r="F62" s="16" t="s">
        <v>44</v>
      </c>
      <c r="G62" s="16" t="s">
        <v>38</v>
      </c>
      <c r="H62" s="16">
        <v>15</v>
      </c>
      <c r="I62" s="16" t="s">
        <v>28</v>
      </c>
      <c r="J62" s="17">
        <v>11894</v>
      </c>
      <c r="K62" s="17">
        <f t="shared" si="4"/>
        <v>2378.8000000000002</v>
      </c>
      <c r="L62" s="17">
        <f>500</f>
        <v>500</v>
      </c>
      <c r="M62" s="17">
        <f>J62*0</f>
        <v>0</v>
      </c>
      <c r="N62" s="17">
        <f t="shared" si="5"/>
        <v>14772.8</v>
      </c>
      <c r="O62" s="17">
        <f t="shared" si="6"/>
        <v>2215.9199999999996</v>
      </c>
      <c r="P62" s="17">
        <f t="shared" si="7"/>
        <v>12556.88</v>
      </c>
    </row>
    <row r="63" spans="1:16" x14ac:dyDescent="0.25">
      <c r="A63" s="18">
        <v>62</v>
      </c>
      <c r="B63" s="18" t="s">
        <v>108</v>
      </c>
      <c r="C63" s="18" t="s">
        <v>24</v>
      </c>
      <c r="D63" s="18" t="s">
        <v>46</v>
      </c>
      <c r="E63" s="18" t="s">
        <v>83</v>
      </c>
      <c r="F63" s="18" t="s">
        <v>48</v>
      </c>
      <c r="G63" s="18" t="s">
        <v>21</v>
      </c>
      <c r="H63" s="18">
        <v>10</v>
      </c>
      <c r="I63" s="18" t="s">
        <v>28</v>
      </c>
      <c r="J63" s="19">
        <v>24265</v>
      </c>
      <c r="K63" s="19">
        <f t="shared" si="4"/>
        <v>4853</v>
      </c>
      <c r="L63" s="19">
        <f>500</f>
        <v>500</v>
      </c>
      <c r="M63" s="19">
        <f>J63*0</f>
        <v>0</v>
      </c>
      <c r="N63" s="19">
        <f t="shared" si="5"/>
        <v>29618</v>
      </c>
      <c r="O63" s="19">
        <f t="shared" si="6"/>
        <v>4442.7</v>
      </c>
      <c r="P63" s="19">
        <f t="shared" si="7"/>
        <v>25175.3</v>
      </c>
    </row>
    <row r="64" spans="1:16" x14ac:dyDescent="0.25">
      <c r="A64" s="16">
        <v>63</v>
      </c>
      <c r="B64" s="16" t="s">
        <v>111</v>
      </c>
      <c r="C64" s="16" t="s">
        <v>17</v>
      </c>
      <c r="D64" s="16" t="s">
        <v>36</v>
      </c>
      <c r="E64" s="16" t="s">
        <v>62</v>
      </c>
      <c r="F64" s="16" t="s">
        <v>20</v>
      </c>
      <c r="G64" s="16" t="s">
        <v>21</v>
      </c>
      <c r="H64" s="16">
        <v>5</v>
      </c>
      <c r="I64" s="16" t="s">
        <v>49</v>
      </c>
      <c r="J64" s="17">
        <v>25040</v>
      </c>
      <c r="K64" s="17">
        <f t="shared" si="4"/>
        <v>5008</v>
      </c>
      <c r="L64" s="17">
        <f>500</f>
        <v>500</v>
      </c>
      <c r="M64" s="17">
        <f>J64*0.06</f>
        <v>1502.3999999999999</v>
      </c>
      <c r="N64" s="17">
        <f t="shared" si="5"/>
        <v>32050.400000000001</v>
      </c>
      <c r="O64" s="17">
        <f t="shared" si="6"/>
        <v>4807.5600000000004</v>
      </c>
      <c r="P64" s="17">
        <f t="shared" si="7"/>
        <v>27242.84</v>
      </c>
    </row>
    <row r="65" spans="1:16" x14ac:dyDescent="0.25">
      <c r="A65" s="18">
        <v>64</v>
      </c>
      <c r="B65" s="18" t="s">
        <v>105</v>
      </c>
      <c r="C65" s="18" t="s">
        <v>24</v>
      </c>
      <c r="D65" s="18" t="s">
        <v>46</v>
      </c>
      <c r="E65" s="18" t="s">
        <v>83</v>
      </c>
      <c r="F65" s="18" t="s">
        <v>44</v>
      </c>
      <c r="G65" s="18" t="s">
        <v>27</v>
      </c>
      <c r="H65" s="18">
        <v>16</v>
      </c>
      <c r="I65" s="18" t="s">
        <v>28</v>
      </c>
      <c r="J65" s="19">
        <v>28997</v>
      </c>
      <c r="K65" s="19">
        <f t="shared" si="4"/>
        <v>5799.4000000000005</v>
      </c>
      <c r="L65" s="19">
        <f>500</f>
        <v>500</v>
      </c>
      <c r="M65" s="19">
        <f>J65*0</f>
        <v>0</v>
      </c>
      <c r="N65" s="19">
        <f t="shared" si="5"/>
        <v>35296.400000000001</v>
      </c>
      <c r="O65" s="19">
        <f t="shared" si="6"/>
        <v>5294.46</v>
      </c>
      <c r="P65" s="19">
        <f t="shared" si="7"/>
        <v>30001.940000000002</v>
      </c>
    </row>
    <row r="66" spans="1:16" x14ac:dyDescent="0.25">
      <c r="A66" s="16">
        <v>65</v>
      </c>
      <c r="B66" s="16" t="s">
        <v>112</v>
      </c>
      <c r="C66" s="16" t="s">
        <v>24</v>
      </c>
      <c r="D66" s="16" t="s">
        <v>18</v>
      </c>
      <c r="E66" s="16" t="s">
        <v>85</v>
      </c>
      <c r="F66" s="16" t="s">
        <v>48</v>
      </c>
      <c r="G66" s="16" t="s">
        <v>38</v>
      </c>
      <c r="H66" s="16">
        <v>5</v>
      </c>
      <c r="I66" s="16" t="s">
        <v>28</v>
      </c>
      <c r="J66" s="17">
        <v>9761</v>
      </c>
      <c r="K66" s="17">
        <f t="shared" ref="K66:K97" si="8">J66*0.2</f>
        <v>1952.2</v>
      </c>
      <c r="L66" s="17">
        <f>500</f>
        <v>500</v>
      </c>
      <c r="M66" s="17">
        <f>J66*0</f>
        <v>0</v>
      </c>
      <c r="N66" s="17">
        <f t="shared" ref="N66:N97" si="9">J66+K66+L66+M66</f>
        <v>12213.2</v>
      </c>
      <c r="O66" s="17">
        <f t="shared" ref="O66:O97" si="10">IF(N66&gt;10000,N66*0.15,N66*0.1)</f>
        <v>1831.98</v>
      </c>
      <c r="P66" s="17">
        <f t="shared" ref="P66:P97" si="11">N66-O66</f>
        <v>10381.220000000001</v>
      </c>
    </row>
    <row r="67" spans="1:16" x14ac:dyDescent="0.25">
      <c r="A67" s="18">
        <v>66</v>
      </c>
      <c r="B67" s="18" t="s">
        <v>113</v>
      </c>
      <c r="C67" s="18" t="s">
        <v>17</v>
      </c>
      <c r="D67" s="18" t="s">
        <v>30</v>
      </c>
      <c r="E67" s="18" t="s">
        <v>66</v>
      </c>
      <c r="F67" s="18" t="s">
        <v>44</v>
      </c>
      <c r="G67" s="18" t="s">
        <v>33</v>
      </c>
      <c r="H67" s="18">
        <v>4</v>
      </c>
      <c r="I67" s="18" t="s">
        <v>34</v>
      </c>
      <c r="J67" s="19">
        <v>8734</v>
      </c>
      <c r="K67" s="19">
        <f t="shared" si="8"/>
        <v>1746.8000000000002</v>
      </c>
      <c r="L67" s="19">
        <f>500</f>
        <v>500</v>
      </c>
      <c r="M67" s="19">
        <f>J67*0.12</f>
        <v>1048.08</v>
      </c>
      <c r="N67" s="19">
        <f t="shared" si="9"/>
        <v>12028.88</v>
      </c>
      <c r="O67" s="19">
        <f t="shared" si="10"/>
        <v>1804.3319999999999</v>
      </c>
      <c r="P67" s="19">
        <f t="shared" si="11"/>
        <v>10224.547999999999</v>
      </c>
    </row>
    <row r="68" spans="1:16" x14ac:dyDescent="0.25">
      <c r="A68" s="16">
        <v>67</v>
      </c>
      <c r="B68" s="16" t="s">
        <v>114</v>
      </c>
      <c r="C68" s="16" t="s">
        <v>17</v>
      </c>
      <c r="D68" s="16" t="s">
        <v>30</v>
      </c>
      <c r="E68" s="16" t="s">
        <v>66</v>
      </c>
      <c r="F68" s="16" t="s">
        <v>48</v>
      </c>
      <c r="G68" s="16" t="s">
        <v>21</v>
      </c>
      <c r="H68" s="16">
        <v>12</v>
      </c>
      <c r="I68" s="16" t="s">
        <v>28</v>
      </c>
      <c r="J68" s="17">
        <v>10127</v>
      </c>
      <c r="K68" s="17">
        <f t="shared" si="8"/>
        <v>2025.4</v>
      </c>
      <c r="L68" s="17">
        <f>500</f>
        <v>500</v>
      </c>
      <c r="M68" s="17">
        <f>J68*0</f>
        <v>0</v>
      </c>
      <c r="N68" s="17">
        <f t="shared" si="9"/>
        <v>12652.4</v>
      </c>
      <c r="O68" s="17">
        <f t="shared" si="10"/>
        <v>1897.86</v>
      </c>
      <c r="P68" s="17">
        <f t="shared" si="11"/>
        <v>10754.539999999999</v>
      </c>
    </row>
    <row r="69" spans="1:16" x14ac:dyDescent="0.25">
      <c r="A69" s="18">
        <v>68</v>
      </c>
      <c r="B69" s="18" t="s">
        <v>115</v>
      </c>
      <c r="C69" s="18" t="s">
        <v>24</v>
      </c>
      <c r="D69" s="18" t="s">
        <v>30</v>
      </c>
      <c r="E69" s="18" t="s">
        <v>31</v>
      </c>
      <c r="F69" s="18" t="s">
        <v>44</v>
      </c>
      <c r="G69" s="18" t="s">
        <v>27</v>
      </c>
      <c r="H69" s="18">
        <v>8</v>
      </c>
      <c r="I69" s="18" t="s">
        <v>49</v>
      </c>
      <c r="J69" s="19">
        <v>14046</v>
      </c>
      <c r="K69" s="19">
        <f t="shared" si="8"/>
        <v>2809.2000000000003</v>
      </c>
      <c r="L69" s="19">
        <f>500</f>
        <v>500</v>
      </c>
      <c r="M69" s="19">
        <f>J69*0.06</f>
        <v>842.76</v>
      </c>
      <c r="N69" s="19">
        <f t="shared" si="9"/>
        <v>18197.96</v>
      </c>
      <c r="O69" s="19">
        <f t="shared" si="10"/>
        <v>2729.694</v>
      </c>
      <c r="P69" s="19">
        <f t="shared" si="11"/>
        <v>15468.266</v>
      </c>
    </row>
    <row r="70" spans="1:16" x14ac:dyDescent="0.25">
      <c r="A70" s="16">
        <v>69</v>
      </c>
      <c r="B70" s="16" t="s">
        <v>116</v>
      </c>
      <c r="C70" s="16" t="s">
        <v>17</v>
      </c>
      <c r="D70" s="16" t="s">
        <v>53</v>
      </c>
      <c r="E70" s="16" t="s">
        <v>54</v>
      </c>
      <c r="F70" s="16" t="s">
        <v>20</v>
      </c>
      <c r="G70" s="16" t="s">
        <v>33</v>
      </c>
      <c r="H70" s="16">
        <v>18</v>
      </c>
      <c r="I70" s="16" t="s">
        <v>34</v>
      </c>
      <c r="J70" s="17">
        <v>16155</v>
      </c>
      <c r="K70" s="17">
        <f t="shared" si="8"/>
        <v>3231</v>
      </c>
      <c r="L70" s="17">
        <f>500</f>
        <v>500</v>
      </c>
      <c r="M70" s="17">
        <f>J70*0.12</f>
        <v>1938.6</v>
      </c>
      <c r="N70" s="17">
        <f t="shared" si="9"/>
        <v>21824.6</v>
      </c>
      <c r="O70" s="17">
        <f t="shared" si="10"/>
        <v>3273.6899999999996</v>
      </c>
      <c r="P70" s="17">
        <f t="shared" si="11"/>
        <v>18550.91</v>
      </c>
    </row>
    <row r="71" spans="1:16" x14ac:dyDescent="0.25">
      <c r="A71" s="18">
        <v>70</v>
      </c>
      <c r="B71" s="18" t="s">
        <v>117</v>
      </c>
      <c r="C71" s="18" t="s">
        <v>24</v>
      </c>
      <c r="D71" s="18" t="s">
        <v>40</v>
      </c>
      <c r="E71" s="18" t="s">
        <v>81</v>
      </c>
      <c r="F71" s="18" t="s">
        <v>44</v>
      </c>
      <c r="G71" s="18" t="s">
        <v>33</v>
      </c>
      <c r="H71" s="18">
        <v>2</v>
      </c>
      <c r="I71" s="18" t="s">
        <v>34</v>
      </c>
      <c r="J71" s="19">
        <v>9804</v>
      </c>
      <c r="K71" s="19">
        <f t="shared" si="8"/>
        <v>1960.8000000000002</v>
      </c>
      <c r="L71" s="19">
        <f>500</f>
        <v>500</v>
      </c>
      <c r="M71" s="19">
        <f>J71*0.12</f>
        <v>1176.48</v>
      </c>
      <c r="N71" s="19">
        <f t="shared" si="9"/>
        <v>13441.279999999999</v>
      </c>
      <c r="O71" s="19">
        <f t="shared" si="10"/>
        <v>2016.1919999999998</v>
      </c>
      <c r="P71" s="19">
        <f t="shared" si="11"/>
        <v>11425.088</v>
      </c>
    </row>
    <row r="72" spans="1:16" x14ac:dyDescent="0.25">
      <c r="A72" s="16">
        <v>71</v>
      </c>
      <c r="B72" s="16" t="s">
        <v>118</v>
      </c>
      <c r="C72" s="16" t="s">
        <v>17</v>
      </c>
      <c r="D72" s="16" t="s">
        <v>46</v>
      </c>
      <c r="E72" s="16" t="s">
        <v>56</v>
      </c>
      <c r="F72" s="16" t="s">
        <v>44</v>
      </c>
      <c r="G72" s="16" t="s">
        <v>33</v>
      </c>
      <c r="H72" s="16">
        <v>8</v>
      </c>
      <c r="I72" s="16" t="s">
        <v>49</v>
      </c>
      <c r="J72" s="17">
        <v>17762</v>
      </c>
      <c r="K72" s="17">
        <f t="shared" si="8"/>
        <v>3552.4</v>
      </c>
      <c r="L72" s="17">
        <f>500</f>
        <v>500</v>
      </c>
      <c r="M72" s="17">
        <f>J72*0.06</f>
        <v>1065.72</v>
      </c>
      <c r="N72" s="17">
        <f t="shared" si="9"/>
        <v>22880.120000000003</v>
      </c>
      <c r="O72" s="17">
        <f t="shared" si="10"/>
        <v>3432.0180000000005</v>
      </c>
      <c r="P72" s="17">
        <f t="shared" si="11"/>
        <v>19448.102000000003</v>
      </c>
    </row>
    <row r="73" spans="1:16" x14ac:dyDescent="0.25">
      <c r="A73" s="18">
        <v>72</v>
      </c>
      <c r="B73" s="18" t="s">
        <v>119</v>
      </c>
      <c r="C73" s="18" t="s">
        <v>17</v>
      </c>
      <c r="D73" s="18" t="s">
        <v>18</v>
      </c>
      <c r="E73" s="18" t="s">
        <v>19</v>
      </c>
      <c r="F73" s="18" t="s">
        <v>20</v>
      </c>
      <c r="G73" s="18" t="s">
        <v>27</v>
      </c>
      <c r="H73" s="18">
        <v>17</v>
      </c>
      <c r="I73" s="18" t="s">
        <v>28</v>
      </c>
      <c r="J73" s="19">
        <v>23636</v>
      </c>
      <c r="K73" s="19">
        <f t="shared" si="8"/>
        <v>4727.2</v>
      </c>
      <c r="L73" s="19">
        <f>500</f>
        <v>500</v>
      </c>
      <c r="M73" s="19">
        <f>J73*0</f>
        <v>0</v>
      </c>
      <c r="N73" s="19">
        <f t="shared" si="9"/>
        <v>28863.200000000001</v>
      </c>
      <c r="O73" s="19">
        <f t="shared" si="10"/>
        <v>4329.4799999999996</v>
      </c>
      <c r="P73" s="19">
        <f t="shared" si="11"/>
        <v>24533.72</v>
      </c>
    </row>
    <row r="74" spans="1:16" x14ac:dyDescent="0.25">
      <c r="A74" s="16">
        <v>73</v>
      </c>
      <c r="B74" s="16" t="s">
        <v>42</v>
      </c>
      <c r="C74" s="16" t="s">
        <v>17</v>
      </c>
      <c r="D74" s="16" t="s">
        <v>25</v>
      </c>
      <c r="E74" s="16" t="s">
        <v>51</v>
      </c>
      <c r="F74" s="16" t="s">
        <v>32</v>
      </c>
      <c r="G74" s="16" t="s">
        <v>27</v>
      </c>
      <c r="H74" s="16">
        <v>8</v>
      </c>
      <c r="I74" s="16" t="s">
        <v>22</v>
      </c>
      <c r="J74" s="17">
        <v>20799</v>
      </c>
      <c r="K74" s="17">
        <f t="shared" si="8"/>
        <v>4159.8</v>
      </c>
      <c r="L74" s="17">
        <f>500</f>
        <v>500</v>
      </c>
      <c r="M74" s="17">
        <f>J74*0.2</f>
        <v>4159.8</v>
      </c>
      <c r="N74" s="17">
        <f t="shared" si="9"/>
        <v>29618.6</v>
      </c>
      <c r="O74" s="17">
        <f t="shared" si="10"/>
        <v>4442.79</v>
      </c>
      <c r="P74" s="17">
        <f t="shared" si="11"/>
        <v>25175.809999999998</v>
      </c>
    </row>
    <row r="75" spans="1:16" x14ac:dyDescent="0.25">
      <c r="A75" s="18">
        <v>74</v>
      </c>
      <c r="B75" s="18" t="s">
        <v>100</v>
      </c>
      <c r="C75" s="18" t="s">
        <v>24</v>
      </c>
      <c r="D75" s="18" t="s">
        <v>46</v>
      </c>
      <c r="E75" s="18" t="s">
        <v>56</v>
      </c>
      <c r="F75" s="18" t="s">
        <v>32</v>
      </c>
      <c r="G75" s="18" t="s">
        <v>27</v>
      </c>
      <c r="H75" s="18">
        <v>1</v>
      </c>
      <c r="I75" s="18" t="s">
        <v>28</v>
      </c>
      <c r="J75" s="19">
        <v>15234</v>
      </c>
      <c r="K75" s="19">
        <f t="shared" si="8"/>
        <v>3046.8</v>
      </c>
      <c r="L75" s="19">
        <f>500</f>
        <v>500</v>
      </c>
      <c r="M75" s="19">
        <f>J75*0</f>
        <v>0</v>
      </c>
      <c r="N75" s="19">
        <f t="shared" si="9"/>
        <v>18780.8</v>
      </c>
      <c r="O75" s="19">
        <f t="shared" si="10"/>
        <v>2817.12</v>
      </c>
      <c r="P75" s="19">
        <f t="shared" si="11"/>
        <v>15963.68</v>
      </c>
    </row>
    <row r="76" spans="1:16" x14ac:dyDescent="0.25">
      <c r="A76" s="16">
        <v>75</v>
      </c>
      <c r="B76" s="16" t="s">
        <v>94</v>
      </c>
      <c r="C76" s="16" t="s">
        <v>24</v>
      </c>
      <c r="D76" s="16" t="s">
        <v>46</v>
      </c>
      <c r="E76" s="16" t="s">
        <v>83</v>
      </c>
      <c r="F76" s="16" t="s">
        <v>48</v>
      </c>
      <c r="G76" s="16" t="s">
        <v>38</v>
      </c>
      <c r="H76" s="16">
        <v>19</v>
      </c>
      <c r="I76" s="16" t="s">
        <v>49</v>
      </c>
      <c r="J76" s="17">
        <v>28279</v>
      </c>
      <c r="K76" s="17">
        <f t="shared" si="8"/>
        <v>5655.8</v>
      </c>
      <c r="L76" s="17">
        <f>500</f>
        <v>500</v>
      </c>
      <c r="M76" s="17">
        <f>J76*0.06</f>
        <v>1696.74</v>
      </c>
      <c r="N76" s="17">
        <f t="shared" si="9"/>
        <v>36131.54</v>
      </c>
      <c r="O76" s="17">
        <f t="shared" si="10"/>
        <v>5419.7309999999998</v>
      </c>
      <c r="P76" s="17">
        <f t="shared" si="11"/>
        <v>30711.809000000001</v>
      </c>
    </row>
    <row r="77" spans="1:16" x14ac:dyDescent="0.25">
      <c r="A77" s="18">
        <v>76</v>
      </c>
      <c r="B77" s="18" t="s">
        <v>101</v>
      </c>
      <c r="C77" s="18" t="s">
        <v>24</v>
      </c>
      <c r="D77" s="18" t="s">
        <v>36</v>
      </c>
      <c r="E77" s="18" t="s">
        <v>120</v>
      </c>
      <c r="F77" s="18" t="s">
        <v>48</v>
      </c>
      <c r="G77" s="18" t="s">
        <v>33</v>
      </c>
      <c r="H77" s="18">
        <v>14</v>
      </c>
      <c r="I77" s="18" t="s">
        <v>49</v>
      </c>
      <c r="J77" s="19">
        <v>15659</v>
      </c>
      <c r="K77" s="19">
        <f t="shared" si="8"/>
        <v>3131.8</v>
      </c>
      <c r="L77" s="19">
        <f>500</f>
        <v>500</v>
      </c>
      <c r="M77" s="19">
        <f>J77*0.06</f>
        <v>939.54</v>
      </c>
      <c r="N77" s="19">
        <f t="shared" si="9"/>
        <v>20230.34</v>
      </c>
      <c r="O77" s="19">
        <f t="shared" si="10"/>
        <v>3034.5509999999999</v>
      </c>
      <c r="P77" s="19">
        <f t="shared" si="11"/>
        <v>17195.789000000001</v>
      </c>
    </row>
    <row r="78" spans="1:16" x14ac:dyDescent="0.25">
      <c r="A78" s="16">
        <v>77</v>
      </c>
      <c r="B78" s="16" t="s">
        <v>79</v>
      </c>
      <c r="C78" s="16" t="s">
        <v>24</v>
      </c>
      <c r="D78" s="16" t="s">
        <v>25</v>
      </c>
      <c r="E78" s="16" t="s">
        <v>71</v>
      </c>
      <c r="F78" s="16" t="s">
        <v>48</v>
      </c>
      <c r="G78" s="16" t="s">
        <v>33</v>
      </c>
      <c r="H78" s="16">
        <v>1</v>
      </c>
      <c r="I78" s="16" t="s">
        <v>22</v>
      </c>
      <c r="J78" s="17">
        <v>13232</v>
      </c>
      <c r="K78" s="17">
        <f t="shared" si="8"/>
        <v>2646.4</v>
      </c>
      <c r="L78" s="17">
        <f>500</f>
        <v>500</v>
      </c>
      <c r="M78" s="17">
        <f>J78*0.2</f>
        <v>2646.4</v>
      </c>
      <c r="N78" s="17">
        <f t="shared" si="9"/>
        <v>19024.8</v>
      </c>
      <c r="O78" s="17">
        <f t="shared" si="10"/>
        <v>2853.72</v>
      </c>
      <c r="P78" s="17">
        <f t="shared" si="11"/>
        <v>16171.08</v>
      </c>
    </row>
    <row r="79" spans="1:16" x14ac:dyDescent="0.25">
      <c r="A79" s="18">
        <v>78</v>
      </c>
      <c r="B79" s="18" t="s">
        <v>121</v>
      </c>
      <c r="C79" s="18" t="s">
        <v>17</v>
      </c>
      <c r="D79" s="18" t="s">
        <v>53</v>
      </c>
      <c r="E79" s="18" t="s">
        <v>74</v>
      </c>
      <c r="F79" s="18" t="s">
        <v>58</v>
      </c>
      <c r="G79" s="18" t="s">
        <v>27</v>
      </c>
      <c r="H79" s="18">
        <v>5</v>
      </c>
      <c r="I79" s="18" t="s">
        <v>22</v>
      </c>
      <c r="J79" s="19">
        <v>8118</v>
      </c>
      <c r="K79" s="19">
        <f t="shared" si="8"/>
        <v>1623.6000000000001</v>
      </c>
      <c r="L79" s="19">
        <f>500</f>
        <v>500</v>
      </c>
      <c r="M79" s="19">
        <f>J79*0.2</f>
        <v>1623.6000000000001</v>
      </c>
      <c r="N79" s="19">
        <f t="shared" si="9"/>
        <v>11865.2</v>
      </c>
      <c r="O79" s="19">
        <f t="shared" si="10"/>
        <v>1779.78</v>
      </c>
      <c r="P79" s="19">
        <f t="shared" si="11"/>
        <v>10085.42</v>
      </c>
    </row>
    <row r="80" spans="1:16" x14ac:dyDescent="0.25">
      <c r="A80" s="16">
        <v>79</v>
      </c>
      <c r="B80" s="16" t="s">
        <v>122</v>
      </c>
      <c r="C80" s="16" t="s">
        <v>17</v>
      </c>
      <c r="D80" s="16" t="s">
        <v>53</v>
      </c>
      <c r="E80" s="16" t="s">
        <v>74</v>
      </c>
      <c r="F80" s="16" t="s">
        <v>20</v>
      </c>
      <c r="G80" s="16" t="s">
        <v>27</v>
      </c>
      <c r="H80" s="16">
        <v>8</v>
      </c>
      <c r="I80" s="16" t="s">
        <v>22</v>
      </c>
      <c r="J80" s="17">
        <v>8003</v>
      </c>
      <c r="K80" s="17">
        <f t="shared" si="8"/>
        <v>1600.6000000000001</v>
      </c>
      <c r="L80" s="17">
        <f>500</f>
        <v>500</v>
      </c>
      <c r="M80" s="17">
        <f>J80*0.2</f>
        <v>1600.6000000000001</v>
      </c>
      <c r="N80" s="17">
        <f t="shared" si="9"/>
        <v>11704.2</v>
      </c>
      <c r="O80" s="17">
        <f t="shared" si="10"/>
        <v>1755.63</v>
      </c>
      <c r="P80" s="17">
        <f t="shared" si="11"/>
        <v>9948.57</v>
      </c>
    </row>
    <row r="81" spans="1:16" x14ac:dyDescent="0.25">
      <c r="A81" s="18">
        <v>80</v>
      </c>
      <c r="B81" s="18" t="s">
        <v>123</v>
      </c>
      <c r="C81" s="18" t="s">
        <v>17</v>
      </c>
      <c r="D81" s="18" t="s">
        <v>40</v>
      </c>
      <c r="E81" s="18" t="s">
        <v>41</v>
      </c>
      <c r="F81" s="18" t="s">
        <v>48</v>
      </c>
      <c r="G81" s="18" t="s">
        <v>21</v>
      </c>
      <c r="H81" s="18">
        <v>4</v>
      </c>
      <c r="I81" s="18" t="s">
        <v>22</v>
      </c>
      <c r="J81" s="19">
        <v>23168</v>
      </c>
      <c r="K81" s="19">
        <f t="shared" si="8"/>
        <v>4633.6000000000004</v>
      </c>
      <c r="L81" s="19">
        <f>500</f>
        <v>500</v>
      </c>
      <c r="M81" s="19">
        <f>J81*0.2</f>
        <v>4633.6000000000004</v>
      </c>
      <c r="N81" s="19">
        <f t="shared" si="9"/>
        <v>32935.199999999997</v>
      </c>
      <c r="O81" s="19">
        <f t="shared" si="10"/>
        <v>4940.28</v>
      </c>
      <c r="P81" s="19">
        <f t="shared" si="11"/>
        <v>27994.92</v>
      </c>
    </row>
    <row r="82" spans="1:16" x14ac:dyDescent="0.25">
      <c r="A82" s="16">
        <v>81</v>
      </c>
      <c r="B82" s="16" t="s">
        <v>94</v>
      </c>
      <c r="C82" s="16" t="s">
        <v>24</v>
      </c>
      <c r="D82" s="16" t="s">
        <v>36</v>
      </c>
      <c r="E82" s="16" t="s">
        <v>37</v>
      </c>
      <c r="F82" s="16" t="s">
        <v>20</v>
      </c>
      <c r="G82" s="16" t="s">
        <v>21</v>
      </c>
      <c r="H82" s="16">
        <v>18</v>
      </c>
      <c r="I82" s="16" t="s">
        <v>49</v>
      </c>
      <c r="J82" s="17">
        <v>14065</v>
      </c>
      <c r="K82" s="17">
        <f t="shared" si="8"/>
        <v>2813</v>
      </c>
      <c r="L82" s="17">
        <f>500</f>
        <v>500</v>
      </c>
      <c r="M82" s="17">
        <f>J82*0.06</f>
        <v>843.9</v>
      </c>
      <c r="N82" s="17">
        <f t="shared" si="9"/>
        <v>18221.900000000001</v>
      </c>
      <c r="O82" s="17">
        <f t="shared" si="10"/>
        <v>2733.2850000000003</v>
      </c>
      <c r="P82" s="17">
        <f t="shared" si="11"/>
        <v>15488.615000000002</v>
      </c>
    </row>
    <row r="83" spans="1:16" x14ac:dyDescent="0.25">
      <c r="A83" s="18">
        <v>82</v>
      </c>
      <c r="B83" s="18" t="s">
        <v>124</v>
      </c>
      <c r="C83" s="18" t="s">
        <v>17</v>
      </c>
      <c r="D83" s="18" t="s">
        <v>25</v>
      </c>
      <c r="E83" s="18" t="s">
        <v>71</v>
      </c>
      <c r="F83" s="18" t="s">
        <v>58</v>
      </c>
      <c r="G83" s="18" t="s">
        <v>27</v>
      </c>
      <c r="H83" s="18">
        <v>1</v>
      </c>
      <c r="I83" s="18" t="s">
        <v>28</v>
      </c>
      <c r="J83" s="19">
        <v>14270</v>
      </c>
      <c r="K83" s="19">
        <f t="shared" si="8"/>
        <v>2854</v>
      </c>
      <c r="L83" s="19">
        <f>500</f>
        <v>500</v>
      </c>
      <c r="M83" s="19">
        <f>J83*0</f>
        <v>0</v>
      </c>
      <c r="N83" s="19">
        <f t="shared" si="9"/>
        <v>17624</v>
      </c>
      <c r="O83" s="19">
        <f t="shared" si="10"/>
        <v>2643.6</v>
      </c>
      <c r="P83" s="19">
        <f t="shared" si="11"/>
        <v>14980.4</v>
      </c>
    </row>
    <row r="84" spans="1:16" x14ac:dyDescent="0.25">
      <c r="A84" s="16">
        <v>83</v>
      </c>
      <c r="B84" s="16" t="s">
        <v>75</v>
      </c>
      <c r="C84" s="16" t="s">
        <v>17</v>
      </c>
      <c r="D84" s="16" t="s">
        <v>36</v>
      </c>
      <c r="E84" s="16" t="s">
        <v>120</v>
      </c>
      <c r="F84" s="16" t="s">
        <v>48</v>
      </c>
      <c r="G84" s="16" t="s">
        <v>21</v>
      </c>
      <c r="H84" s="16">
        <v>9</v>
      </c>
      <c r="I84" s="16" t="s">
        <v>34</v>
      </c>
      <c r="J84" s="17">
        <v>13848</v>
      </c>
      <c r="K84" s="17">
        <f t="shared" si="8"/>
        <v>2769.6000000000004</v>
      </c>
      <c r="L84" s="17">
        <f>500</f>
        <v>500</v>
      </c>
      <c r="M84" s="17">
        <f>J84*0.12</f>
        <v>1661.76</v>
      </c>
      <c r="N84" s="17">
        <f t="shared" si="9"/>
        <v>18779.359999999997</v>
      </c>
      <c r="O84" s="17">
        <f t="shared" si="10"/>
        <v>2816.9039999999995</v>
      </c>
      <c r="P84" s="17">
        <f t="shared" si="11"/>
        <v>15962.455999999998</v>
      </c>
    </row>
    <row r="85" spans="1:16" x14ac:dyDescent="0.25">
      <c r="A85" s="18">
        <v>84</v>
      </c>
      <c r="B85" s="18" t="s">
        <v>125</v>
      </c>
      <c r="C85" s="18" t="s">
        <v>17</v>
      </c>
      <c r="D85" s="18" t="s">
        <v>30</v>
      </c>
      <c r="E85" s="18" t="s">
        <v>31</v>
      </c>
      <c r="F85" s="18" t="s">
        <v>44</v>
      </c>
      <c r="G85" s="18" t="s">
        <v>33</v>
      </c>
      <c r="H85" s="18">
        <v>12</v>
      </c>
      <c r="I85" s="18" t="s">
        <v>28</v>
      </c>
      <c r="J85" s="19">
        <v>14129</v>
      </c>
      <c r="K85" s="19">
        <f t="shared" si="8"/>
        <v>2825.8</v>
      </c>
      <c r="L85" s="19">
        <f>500</f>
        <v>500</v>
      </c>
      <c r="M85" s="19">
        <f>J85*0</f>
        <v>0</v>
      </c>
      <c r="N85" s="19">
        <f t="shared" si="9"/>
        <v>17454.8</v>
      </c>
      <c r="O85" s="19">
        <f t="shared" si="10"/>
        <v>2618.2199999999998</v>
      </c>
      <c r="P85" s="19">
        <f t="shared" si="11"/>
        <v>14836.58</v>
      </c>
    </row>
    <row r="86" spans="1:16" x14ac:dyDescent="0.25">
      <c r="A86" s="16">
        <v>85</v>
      </c>
      <c r="B86" s="16" t="s">
        <v>126</v>
      </c>
      <c r="C86" s="16" t="s">
        <v>17</v>
      </c>
      <c r="D86" s="16" t="s">
        <v>36</v>
      </c>
      <c r="E86" s="16" t="s">
        <v>120</v>
      </c>
      <c r="F86" s="16" t="s">
        <v>58</v>
      </c>
      <c r="G86" s="16" t="s">
        <v>38</v>
      </c>
      <c r="H86" s="16">
        <v>7</v>
      </c>
      <c r="I86" s="16" t="s">
        <v>34</v>
      </c>
      <c r="J86" s="17">
        <v>12744</v>
      </c>
      <c r="K86" s="17">
        <f t="shared" si="8"/>
        <v>2548.8000000000002</v>
      </c>
      <c r="L86" s="17">
        <f>500</f>
        <v>500</v>
      </c>
      <c r="M86" s="17">
        <f>J86*0.12</f>
        <v>1529.28</v>
      </c>
      <c r="N86" s="17">
        <f t="shared" si="9"/>
        <v>17322.079999999998</v>
      </c>
      <c r="O86" s="17">
        <f t="shared" si="10"/>
        <v>2598.3119999999994</v>
      </c>
      <c r="P86" s="17">
        <f t="shared" si="11"/>
        <v>14723.767999999998</v>
      </c>
    </row>
    <row r="87" spans="1:16" x14ac:dyDescent="0.25">
      <c r="A87" s="18">
        <v>86</v>
      </c>
      <c r="B87" s="18" t="s">
        <v>127</v>
      </c>
      <c r="C87" s="18" t="s">
        <v>17</v>
      </c>
      <c r="D87" s="18" t="s">
        <v>40</v>
      </c>
      <c r="E87" s="18" t="s">
        <v>43</v>
      </c>
      <c r="F87" s="18" t="s">
        <v>32</v>
      </c>
      <c r="G87" s="18" t="s">
        <v>27</v>
      </c>
      <c r="H87" s="18">
        <v>8</v>
      </c>
      <c r="I87" s="18" t="s">
        <v>28</v>
      </c>
      <c r="J87" s="19">
        <v>16309</v>
      </c>
      <c r="K87" s="19">
        <f t="shared" si="8"/>
        <v>3261.8</v>
      </c>
      <c r="L87" s="19">
        <f>500</f>
        <v>500</v>
      </c>
      <c r="M87" s="19">
        <f>J87*0</f>
        <v>0</v>
      </c>
      <c r="N87" s="19">
        <f t="shared" si="9"/>
        <v>20070.8</v>
      </c>
      <c r="O87" s="19">
        <f t="shared" si="10"/>
        <v>3010.62</v>
      </c>
      <c r="P87" s="19">
        <f t="shared" si="11"/>
        <v>17060.18</v>
      </c>
    </row>
    <row r="88" spans="1:16" x14ac:dyDescent="0.25">
      <c r="A88" s="16">
        <v>87</v>
      </c>
      <c r="B88" s="16" t="s">
        <v>128</v>
      </c>
      <c r="C88" s="16" t="s">
        <v>24</v>
      </c>
      <c r="D88" s="16" t="s">
        <v>25</v>
      </c>
      <c r="E88" s="16" t="s">
        <v>51</v>
      </c>
      <c r="F88" s="16" t="s">
        <v>58</v>
      </c>
      <c r="G88" s="16" t="s">
        <v>21</v>
      </c>
      <c r="H88" s="16">
        <v>20</v>
      </c>
      <c r="I88" s="16" t="s">
        <v>34</v>
      </c>
      <c r="J88" s="17">
        <v>26702</v>
      </c>
      <c r="K88" s="17">
        <f t="shared" si="8"/>
        <v>5340.4000000000005</v>
      </c>
      <c r="L88" s="17">
        <f>500</f>
        <v>500</v>
      </c>
      <c r="M88" s="17">
        <f>J88*0.12</f>
        <v>3204.24</v>
      </c>
      <c r="N88" s="17">
        <f t="shared" si="9"/>
        <v>35746.639999999999</v>
      </c>
      <c r="O88" s="17">
        <f t="shared" si="10"/>
        <v>5361.9960000000001</v>
      </c>
      <c r="P88" s="17">
        <f t="shared" si="11"/>
        <v>30384.644</v>
      </c>
    </row>
    <row r="89" spans="1:16" x14ac:dyDescent="0.25">
      <c r="A89" s="18">
        <v>88</v>
      </c>
      <c r="B89" s="18" t="s">
        <v>63</v>
      </c>
      <c r="C89" s="18" t="s">
        <v>24</v>
      </c>
      <c r="D89" s="18" t="s">
        <v>25</v>
      </c>
      <c r="E89" s="18" t="s">
        <v>71</v>
      </c>
      <c r="F89" s="18" t="s">
        <v>44</v>
      </c>
      <c r="G89" s="18" t="s">
        <v>21</v>
      </c>
      <c r="H89" s="18">
        <v>3</v>
      </c>
      <c r="I89" s="18" t="s">
        <v>34</v>
      </c>
      <c r="J89" s="19">
        <v>13536</v>
      </c>
      <c r="K89" s="19">
        <f t="shared" si="8"/>
        <v>2707.2000000000003</v>
      </c>
      <c r="L89" s="19">
        <f>500</f>
        <v>500</v>
      </c>
      <c r="M89" s="19">
        <f>J89*0.12</f>
        <v>1624.32</v>
      </c>
      <c r="N89" s="19">
        <f t="shared" si="9"/>
        <v>18367.52</v>
      </c>
      <c r="O89" s="19">
        <f t="shared" si="10"/>
        <v>2755.1280000000002</v>
      </c>
      <c r="P89" s="19">
        <f t="shared" si="11"/>
        <v>15612.392</v>
      </c>
    </row>
    <row r="90" spans="1:16" x14ac:dyDescent="0.25">
      <c r="A90" s="16">
        <v>89</v>
      </c>
      <c r="B90" s="16" t="s">
        <v>129</v>
      </c>
      <c r="C90" s="16" t="s">
        <v>24</v>
      </c>
      <c r="D90" s="16" t="s">
        <v>30</v>
      </c>
      <c r="E90" s="16" t="s">
        <v>66</v>
      </c>
      <c r="F90" s="16" t="s">
        <v>48</v>
      </c>
      <c r="G90" s="16" t="s">
        <v>38</v>
      </c>
      <c r="H90" s="16">
        <v>11</v>
      </c>
      <c r="I90" s="16" t="s">
        <v>28</v>
      </c>
      <c r="J90" s="17">
        <v>8622</v>
      </c>
      <c r="K90" s="17">
        <f t="shared" si="8"/>
        <v>1724.4</v>
      </c>
      <c r="L90" s="17">
        <f>500</f>
        <v>500</v>
      </c>
      <c r="M90" s="17">
        <f>J90*0</f>
        <v>0</v>
      </c>
      <c r="N90" s="17">
        <f t="shared" si="9"/>
        <v>10846.4</v>
      </c>
      <c r="O90" s="17">
        <f t="shared" si="10"/>
        <v>1626.9599999999998</v>
      </c>
      <c r="P90" s="17">
        <f t="shared" si="11"/>
        <v>9219.44</v>
      </c>
    </row>
    <row r="91" spans="1:16" x14ac:dyDescent="0.25">
      <c r="A91" s="18">
        <v>90</v>
      </c>
      <c r="B91" s="18" t="s">
        <v>101</v>
      </c>
      <c r="C91" s="18" t="s">
        <v>24</v>
      </c>
      <c r="D91" s="18" t="s">
        <v>30</v>
      </c>
      <c r="E91" s="18" t="s">
        <v>66</v>
      </c>
      <c r="F91" s="18" t="s">
        <v>48</v>
      </c>
      <c r="G91" s="18" t="s">
        <v>21</v>
      </c>
      <c r="H91" s="18">
        <v>18</v>
      </c>
      <c r="I91" s="18" t="s">
        <v>34</v>
      </c>
      <c r="J91" s="19">
        <v>10149</v>
      </c>
      <c r="K91" s="19">
        <f t="shared" si="8"/>
        <v>2029.8000000000002</v>
      </c>
      <c r="L91" s="19">
        <f>500</f>
        <v>500</v>
      </c>
      <c r="M91" s="19">
        <f>J91*0.12</f>
        <v>1217.8799999999999</v>
      </c>
      <c r="N91" s="19">
        <f t="shared" si="9"/>
        <v>13896.679999999998</v>
      </c>
      <c r="O91" s="19">
        <f t="shared" si="10"/>
        <v>2084.5019999999995</v>
      </c>
      <c r="P91" s="19">
        <f t="shared" si="11"/>
        <v>11812.178</v>
      </c>
    </row>
    <row r="92" spans="1:16" x14ac:dyDescent="0.25">
      <c r="A92" s="16">
        <v>91</v>
      </c>
      <c r="B92" s="16" t="s">
        <v>130</v>
      </c>
      <c r="C92" s="16" t="s">
        <v>17</v>
      </c>
      <c r="D92" s="16" t="s">
        <v>30</v>
      </c>
      <c r="E92" s="16" t="s">
        <v>31</v>
      </c>
      <c r="F92" s="16" t="s">
        <v>48</v>
      </c>
      <c r="G92" s="16" t="s">
        <v>27</v>
      </c>
      <c r="H92" s="16">
        <v>12</v>
      </c>
      <c r="I92" s="16" t="s">
        <v>28</v>
      </c>
      <c r="J92" s="17">
        <v>14110</v>
      </c>
      <c r="K92" s="17">
        <f t="shared" si="8"/>
        <v>2822</v>
      </c>
      <c r="L92" s="17">
        <f>500</f>
        <v>500</v>
      </c>
      <c r="M92" s="17">
        <f>J92*0</f>
        <v>0</v>
      </c>
      <c r="N92" s="17">
        <f t="shared" si="9"/>
        <v>17432</v>
      </c>
      <c r="O92" s="17">
        <f t="shared" si="10"/>
        <v>2614.7999999999997</v>
      </c>
      <c r="P92" s="17">
        <f t="shared" si="11"/>
        <v>14817.2</v>
      </c>
    </row>
    <row r="93" spans="1:16" x14ac:dyDescent="0.25">
      <c r="A93" s="18">
        <v>92</v>
      </c>
      <c r="B93" s="18" t="s">
        <v>131</v>
      </c>
      <c r="C93" s="18" t="s">
        <v>17</v>
      </c>
      <c r="D93" s="18" t="s">
        <v>18</v>
      </c>
      <c r="E93" s="18" t="s">
        <v>85</v>
      </c>
      <c r="F93" s="18" t="s">
        <v>58</v>
      </c>
      <c r="G93" s="18" t="s">
        <v>33</v>
      </c>
      <c r="H93" s="18">
        <v>2</v>
      </c>
      <c r="I93" s="18" t="s">
        <v>28</v>
      </c>
      <c r="J93" s="19">
        <v>8506</v>
      </c>
      <c r="K93" s="19">
        <f t="shared" si="8"/>
        <v>1701.2</v>
      </c>
      <c r="L93" s="19">
        <f>500</f>
        <v>500</v>
      </c>
      <c r="M93" s="19">
        <f>J93*0</f>
        <v>0</v>
      </c>
      <c r="N93" s="19">
        <f t="shared" si="9"/>
        <v>10707.2</v>
      </c>
      <c r="O93" s="19">
        <f t="shared" si="10"/>
        <v>1606.0800000000002</v>
      </c>
      <c r="P93" s="19">
        <f t="shared" si="11"/>
        <v>9101.1200000000008</v>
      </c>
    </row>
    <row r="94" spans="1:16" x14ac:dyDescent="0.25">
      <c r="A94" s="16">
        <v>93</v>
      </c>
      <c r="B94" s="16" t="s">
        <v>132</v>
      </c>
      <c r="C94" s="16" t="s">
        <v>24</v>
      </c>
      <c r="D94" s="16" t="s">
        <v>36</v>
      </c>
      <c r="E94" s="16" t="s">
        <v>37</v>
      </c>
      <c r="F94" s="16" t="s">
        <v>20</v>
      </c>
      <c r="G94" s="16" t="s">
        <v>38</v>
      </c>
      <c r="H94" s="16">
        <v>12</v>
      </c>
      <c r="I94" s="16" t="s">
        <v>49</v>
      </c>
      <c r="J94" s="17">
        <v>10979</v>
      </c>
      <c r="K94" s="17">
        <f t="shared" si="8"/>
        <v>2195.8000000000002</v>
      </c>
      <c r="L94" s="17">
        <f>500</f>
        <v>500</v>
      </c>
      <c r="M94" s="17">
        <f>J94*0.06</f>
        <v>658.74</v>
      </c>
      <c r="N94" s="17">
        <f t="shared" si="9"/>
        <v>14333.539999999999</v>
      </c>
      <c r="O94" s="17">
        <f t="shared" si="10"/>
        <v>2150.0309999999999</v>
      </c>
      <c r="P94" s="17">
        <f t="shared" si="11"/>
        <v>12183.508999999998</v>
      </c>
    </row>
    <row r="95" spans="1:16" x14ac:dyDescent="0.25">
      <c r="A95" s="18">
        <v>94</v>
      </c>
      <c r="B95" s="18" t="s">
        <v>133</v>
      </c>
      <c r="C95" s="18" t="s">
        <v>24</v>
      </c>
      <c r="D95" s="18" t="s">
        <v>46</v>
      </c>
      <c r="E95" s="18" t="s">
        <v>56</v>
      </c>
      <c r="F95" s="18" t="s">
        <v>20</v>
      </c>
      <c r="G95" s="18" t="s">
        <v>21</v>
      </c>
      <c r="H95" s="18">
        <v>1</v>
      </c>
      <c r="I95" s="18" t="s">
        <v>34</v>
      </c>
      <c r="J95" s="19">
        <v>14180</v>
      </c>
      <c r="K95" s="19">
        <f t="shared" si="8"/>
        <v>2836</v>
      </c>
      <c r="L95" s="19">
        <f>500</f>
        <v>500</v>
      </c>
      <c r="M95" s="19">
        <f>J95*0.12</f>
        <v>1701.6</v>
      </c>
      <c r="N95" s="19">
        <f t="shared" si="9"/>
        <v>19217.599999999999</v>
      </c>
      <c r="O95" s="19">
        <f t="shared" si="10"/>
        <v>2882.64</v>
      </c>
      <c r="P95" s="19">
        <f t="shared" si="11"/>
        <v>16334.96</v>
      </c>
    </row>
    <row r="96" spans="1:16" x14ac:dyDescent="0.25">
      <c r="A96" s="16">
        <v>95</v>
      </c>
      <c r="B96" s="16" t="s">
        <v>134</v>
      </c>
      <c r="C96" s="16" t="s">
        <v>17</v>
      </c>
      <c r="D96" s="16" t="s">
        <v>25</v>
      </c>
      <c r="E96" s="16" t="s">
        <v>26</v>
      </c>
      <c r="F96" s="16" t="s">
        <v>58</v>
      </c>
      <c r="G96" s="16" t="s">
        <v>33</v>
      </c>
      <c r="H96" s="16">
        <v>6</v>
      </c>
      <c r="I96" s="16" t="s">
        <v>22</v>
      </c>
      <c r="J96" s="17">
        <v>12327</v>
      </c>
      <c r="K96" s="17">
        <f t="shared" si="8"/>
        <v>2465.4</v>
      </c>
      <c r="L96" s="17">
        <f>500</f>
        <v>500</v>
      </c>
      <c r="M96" s="17">
        <f>J96*0.2</f>
        <v>2465.4</v>
      </c>
      <c r="N96" s="17">
        <f t="shared" si="9"/>
        <v>17757.8</v>
      </c>
      <c r="O96" s="17">
        <f t="shared" si="10"/>
        <v>2663.6699999999996</v>
      </c>
      <c r="P96" s="17">
        <f t="shared" si="11"/>
        <v>15094.13</v>
      </c>
    </row>
    <row r="97" spans="1:16" x14ac:dyDescent="0.25">
      <c r="A97" s="18">
        <v>96</v>
      </c>
      <c r="B97" s="18" t="s">
        <v>135</v>
      </c>
      <c r="C97" s="18" t="s">
        <v>17</v>
      </c>
      <c r="D97" s="18" t="s">
        <v>36</v>
      </c>
      <c r="E97" s="18" t="s">
        <v>120</v>
      </c>
      <c r="F97" s="18" t="s">
        <v>44</v>
      </c>
      <c r="G97" s="18" t="s">
        <v>33</v>
      </c>
      <c r="H97" s="18">
        <v>12</v>
      </c>
      <c r="I97" s="18" t="s">
        <v>22</v>
      </c>
      <c r="J97" s="19">
        <v>14022</v>
      </c>
      <c r="K97" s="19">
        <f t="shared" si="8"/>
        <v>2804.4</v>
      </c>
      <c r="L97" s="19">
        <f>500</f>
        <v>500</v>
      </c>
      <c r="M97" s="19">
        <f>J97*0.2</f>
        <v>2804.4</v>
      </c>
      <c r="N97" s="19">
        <f t="shared" si="9"/>
        <v>20130.800000000003</v>
      </c>
      <c r="O97" s="19">
        <f t="shared" si="10"/>
        <v>3019.6200000000003</v>
      </c>
      <c r="P97" s="19">
        <f t="shared" si="11"/>
        <v>17111.180000000004</v>
      </c>
    </row>
    <row r="98" spans="1:16" x14ac:dyDescent="0.25">
      <c r="A98" s="16">
        <v>97</v>
      </c>
      <c r="B98" s="16" t="s">
        <v>59</v>
      </c>
      <c r="C98" s="16" t="s">
        <v>17</v>
      </c>
      <c r="D98" s="16" t="s">
        <v>25</v>
      </c>
      <c r="E98" s="16" t="s">
        <v>51</v>
      </c>
      <c r="F98" s="16" t="s">
        <v>20</v>
      </c>
      <c r="G98" s="16" t="s">
        <v>33</v>
      </c>
      <c r="H98" s="16">
        <v>18</v>
      </c>
      <c r="I98" s="16" t="s">
        <v>49</v>
      </c>
      <c r="J98" s="17">
        <v>24294</v>
      </c>
      <c r="K98" s="17">
        <f t="shared" ref="K98:K129" si="12">J98*0.2</f>
        <v>4858.8</v>
      </c>
      <c r="L98" s="17">
        <f>500</f>
        <v>500</v>
      </c>
      <c r="M98" s="17">
        <f>J98*0.06</f>
        <v>1457.6399999999999</v>
      </c>
      <c r="N98" s="17">
        <f t="shared" ref="N98:N129" si="13">J98+K98+L98+M98</f>
        <v>31110.44</v>
      </c>
      <c r="O98" s="17">
        <f t="shared" ref="O98:O129" si="14">IF(N98&gt;10000,N98*0.15,N98*0.1)</f>
        <v>4666.5659999999998</v>
      </c>
      <c r="P98" s="17">
        <f t="shared" ref="P98:P129" si="15">N98-O98</f>
        <v>26443.874</v>
      </c>
    </row>
    <row r="99" spans="1:16" x14ac:dyDescent="0.25">
      <c r="A99" s="18">
        <v>98</v>
      </c>
      <c r="B99" s="18" t="s">
        <v>55</v>
      </c>
      <c r="C99" s="18" t="s">
        <v>17</v>
      </c>
      <c r="D99" s="18" t="s">
        <v>46</v>
      </c>
      <c r="E99" s="18" t="s">
        <v>47</v>
      </c>
      <c r="F99" s="18" t="s">
        <v>20</v>
      </c>
      <c r="G99" s="18" t="s">
        <v>27</v>
      </c>
      <c r="H99" s="18">
        <v>4</v>
      </c>
      <c r="I99" s="18" t="s">
        <v>28</v>
      </c>
      <c r="J99" s="19">
        <v>19919</v>
      </c>
      <c r="K99" s="19">
        <f t="shared" si="12"/>
        <v>3983.8</v>
      </c>
      <c r="L99" s="19">
        <f>500</f>
        <v>500</v>
      </c>
      <c r="M99" s="19">
        <f>J99*0</f>
        <v>0</v>
      </c>
      <c r="N99" s="19">
        <f t="shared" si="13"/>
        <v>24402.799999999999</v>
      </c>
      <c r="O99" s="19">
        <f t="shared" si="14"/>
        <v>3660.4199999999996</v>
      </c>
      <c r="P99" s="19">
        <f t="shared" si="15"/>
        <v>20742.38</v>
      </c>
    </row>
    <row r="100" spans="1:16" x14ac:dyDescent="0.25">
      <c r="A100" s="16">
        <v>99</v>
      </c>
      <c r="B100" s="16" t="s">
        <v>59</v>
      </c>
      <c r="C100" s="16" t="s">
        <v>17</v>
      </c>
      <c r="D100" s="16" t="s">
        <v>36</v>
      </c>
      <c r="E100" s="16" t="s">
        <v>120</v>
      </c>
      <c r="F100" s="16" t="s">
        <v>48</v>
      </c>
      <c r="G100" s="16" t="s">
        <v>27</v>
      </c>
      <c r="H100" s="16">
        <v>18</v>
      </c>
      <c r="I100" s="16" t="s">
        <v>22</v>
      </c>
      <c r="J100" s="17">
        <v>16380</v>
      </c>
      <c r="K100" s="17">
        <f t="shared" si="12"/>
        <v>3276</v>
      </c>
      <c r="L100" s="17">
        <f>500</f>
        <v>500</v>
      </c>
      <c r="M100" s="17">
        <f>J100*0.2</f>
        <v>3276</v>
      </c>
      <c r="N100" s="17">
        <f t="shared" si="13"/>
        <v>23432</v>
      </c>
      <c r="O100" s="17">
        <f t="shared" si="14"/>
        <v>3514.7999999999997</v>
      </c>
      <c r="P100" s="17">
        <f t="shared" si="15"/>
        <v>19917.2</v>
      </c>
    </row>
    <row r="101" spans="1:16" x14ac:dyDescent="0.25">
      <c r="A101" s="18">
        <v>100</v>
      </c>
      <c r="B101" s="18" t="s">
        <v>136</v>
      </c>
      <c r="C101" s="18" t="s">
        <v>17</v>
      </c>
      <c r="D101" s="18" t="s">
        <v>40</v>
      </c>
      <c r="E101" s="18" t="s">
        <v>43</v>
      </c>
      <c r="F101" s="18" t="s">
        <v>44</v>
      </c>
      <c r="G101" s="18" t="s">
        <v>38</v>
      </c>
      <c r="H101" s="18">
        <v>9</v>
      </c>
      <c r="I101" s="18" t="s">
        <v>34</v>
      </c>
      <c r="J101" s="19">
        <v>16683</v>
      </c>
      <c r="K101" s="19">
        <f t="shared" si="12"/>
        <v>3336.6000000000004</v>
      </c>
      <c r="L101" s="19">
        <f>500</f>
        <v>500</v>
      </c>
      <c r="M101" s="19">
        <f>J101*0.12</f>
        <v>2001.96</v>
      </c>
      <c r="N101" s="19">
        <f t="shared" si="13"/>
        <v>22521.559999999998</v>
      </c>
      <c r="O101" s="19">
        <f t="shared" si="14"/>
        <v>3378.2339999999995</v>
      </c>
      <c r="P101" s="19">
        <f t="shared" si="15"/>
        <v>19143.325999999997</v>
      </c>
    </row>
    <row r="102" spans="1:16" x14ac:dyDescent="0.25">
      <c r="A102" s="16">
        <v>101</v>
      </c>
      <c r="B102" s="16" t="s">
        <v>137</v>
      </c>
      <c r="C102" s="16" t="s">
        <v>24</v>
      </c>
      <c r="D102" s="16" t="s">
        <v>36</v>
      </c>
      <c r="E102" s="16" t="s">
        <v>120</v>
      </c>
      <c r="F102" s="16" t="s">
        <v>32</v>
      </c>
      <c r="G102" s="16" t="s">
        <v>27</v>
      </c>
      <c r="H102" s="16">
        <v>11</v>
      </c>
      <c r="I102" s="16" t="s">
        <v>22</v>
      </c>
      <c r="J102" s="17">
        <v>13407</v>
      </c>
      <c r="K102" s="17">
        <f t="shared" si="12"/>
        <v>2681.4</v>
      </c>
      <c r="L102" s="17">
        <f>500</f>
        <v>500</v>
      </c>
      <c r="M102" s="17">
        <f>J102*0.2</f>
        <v>2681.4</v>
      </c>
      <c r="N102" s="17">
        <f t="shared" si="13"/>
        <v>19269.800000000003</v>
      </c>
      <c r="O102" s="17">
        <f t="shared" si="14"/>
        <v>2890.4700000000003</v>
      </c>
      <c r="P102" s="17">
        <f t="shared" si="15"/>
        <v>16379.330000000002</v>
      </c>
    </row>
    <row r="103" spans="1:16" x14ac:dyDescent="0.25">
      <c r="A103" s="18">
        <v>102</v>
      </c>
      <c r="B103" s="18" t="s">
        <v>138</v>
      </c>
      <c r="C103" s="18" t="s">
        <v>24</v>
      </c>
      <c r="D103" s="18" t="s">
        <v>36</v>
      </c>
      <c r="E103" s="18" t="s">
        <v>37</v>
      </c>
      <c r="F103" s="18" t="s">
        <v>20</v>
      </c>
      <c r="G103" s="18" t="s">
        <v>33</v>
      </c>
      <c r="H103" s="18">
        <v>2</v>
      </c>
      <c r="I103" s="18" t="s">
        <v>22</v>
      </c>
      <c r="J103" s="19">
        <v>8435</v>
      </c>
      <c r="K103" s="19">
        <f t="shared" si="12"/>
        <v>1687</v>
      </c>
      <c r="L103" s="19">
        <f>500</f>
        <v>500</v>
      </c>
      <c r="M103" s="19">
        <f>J103*0.2</f>
        <v>1687</v>
      </c>
      <c r="N103" s="19">
        <f t="shared" si="13"/>
        <v>12309</v>
      </c>
      <c r="O103" s="19">
        <f t="shared" si="14"/>
        <v>1846.35</v>
      </c>
      <c r="P103" s="19">
        <f t="shared" si="15"/>
        <v>10462.65</v>
      </c>
    </row>
    <row r="104" spans="1:16" x14ac:dyDescent="0.25">
      <c r="A104" s="16">
        <v>103</v>
      </c>
      <c r="B104" s="16" t="s">
        <v>77</v>
      </c>
      <c r="C104" s="16" t="s">
        <v>24</v>
      </c>
      <c r="D104" s="16" t="s">
        <v>30</v>
      </c>
      <c r="E104" s="16" t="s">
        <v>66</v>
      </c>
      <c r="F104" s="16" t="s">
        <v>58</v>
      </c>
      <c r="G104" s="16" t="s">
        <v>21</v>
      </c>
      <c r="H104" s="16">
        <v>2</v>
      </c>
      <c r="I104" s="16" t="s">
        <v>34</v>
      </c>
      <c r="J104" s="17">
        <v>8191</v>
      </c>
      <c r="K104" s="17">
        <f t="shared" si="12"/>
        <v>1638.2</v>
      </c>
      <c r="L104" s="17">
        <f>500</f>
        <v>500</v>
      </c>
      <c r="M104" s="17">
        <f>J104*0.12</f>
        <v>982.92</v>
      </c>
      <c r="N104" s="17">
        <f t="shared" si="13"/>
        <v>11312.12</v>
      </c>
      <c r="O104" s="17">
        <f t="shared" si="14"/>
        <v>1696.818</v>
      </c>
      <c r="P104" s="17">
        <f t="shared" si="15"/>
        <v>9615.3020000000015</v>
      </c>
    </row>
    <row r="105" spans="1:16" x14ac:dyDescent="0.25">
      <c r="A105" s="18">
        <v>104</v>
      </c>
      <c r="B105" s="18" t="s">
        <v>139</v>
      </c>
      <c r="C105" s="18" t="s">
        <v>24</v>
      </c>
      <c r="D105" s="18" t="s">
        <v>40</v>
      </c>
      <c r="E105" s="18" t="s">
        <v>81</v>
      </c>
      <c r="F105" s="18" t="s">
        <v>48</v>
      </c>
      <c r="G105" s="18" t="s">
        <v>38</v>
      </c>
      <c r="H105" s="18">
        <v>1</v>
      </c>
      <c r="I105" s="18" t="s">
        <v>22</v>
      </c>
      <c r="J105" s="19">
        <v>10806</v>
      </c>
      <c r="K105" s="19">
        <f t="shared" si="12"/>
        <v>2161.2000000000003</v>
      </c>
      <c r="L105" s="19">
        <f>500</f>
        <v>500</v>
      </c>
      <c r="M105" s="19">
        <f>J105*0.2</f>
        <v>2161.2000000000003</v>
      </c>
      <c r="N105" s="19">
        <f t="shared" si="13"/>
        <v>15628.400000000001</v>
      </c>
      <c r="O105" s="19">
        <f t="shared" si="14"/>
        <v>2344.2600000000002</v>
      </c>
      <c r="P105" s="19">
        <f t="shared" si="15"/>
        <v>13284.140000000001</v>
      </c>
    </row>
    <row r="106" spans="1:16" x14ac:dyDescent="0.25">
      <c r="A106" s="16">
        <v>105</v>
      </c>
      <c r="B106" s="16" t="s">
        <v>140</v>
      </c>
      <c r="C106" s="16" t="s">
        <v>17</v>
      </c>
      <c r="D106" s="16" t="s">
        <v>46</v>
      </c>
      <c r="E106" s="16" t="s">
        <v>56</v>
      </c>
      <c r="F106" s="16" t="s">
        <v>58</v>
      </c>
      <c r="G106" s="16" t="s">
        <v>21</v>
      </c>
      <c r="H106" s="16">
        <v>7</v>
      </c>
      <c r="I106" s="16" t="s">
        <v>49</v>
      </c>
      <c r="J106" s="17">
        <v>15553</v>
      </c>
      <c r="K106" s="17">
        <f t="shared" si="12"/>
        <v>3110.6000000000004</v>
      </c>
      <c r="L106" s="17">
        <f>500</f>
        <v>500</v>
      </c>
      <c r="M106" s="17">
        <f>J106*0.06</f>
        <v>933.18</v>
      </c>
      <c r="N106" s="17">
        <f t="shared" si="13"/>
        <v>20096.78</v>
      </c>
      <c r="O106" s="17">
        <f t="shared" si="14"/>
        <v>3014.5169999999998</v>
      </c>
      <c r="P106" s="17">
        <f t="shared" si="15"/>
        <v>17082.262999999999</v>
      </c>
    </row>
    <row r="107" spans="1:16" x14ac:dyDescent="0.25">
      <c r="A107" s="18">
        <v>106</v>
      </c>
      <c r="B107" s="18" t="s">
        <v>141</v>
      </c>
      <c r="C107" s="18" t="s">
        <v>24</v>
      </c>
      <c r="D107" s="18" t="s">
        <v>25</v>
      </c>
      <c r="E107" s="18" t="s">
        <v>71</v>
      </c>
      <c r="F107" s="18" t="s">
        <v>44</v>
      </c>
      <c r="G107" s="18" t="s">
        <v>27</v>
      </c>
      <c r="H107" s="18">
        <v>20</v>
      </c>
      <c r="I107" s="18" t="s">
        <v>49</v>
      </c>
      <c r="J107" s="19">
        <v>16735</v>
      </c>
      <c r="K107" s="19">
        <f t="shared" si="12"/>
        <v>3347</v>
      </c>
      <c r="L107" s="19">
        <f>500</f>
        <v>500</v>
      </c>
      <c r="M107" s="19">
        <f>J107*0.06</f>
        <v>1004.0999999999999</v>
      </c>
      <c r="N107" s="19">
        <f t="shared" si="13"/>
        <v>21586.1</v>
      </c>
      <c r="O107" s="19">
        <f t="shared" si="14"/>
        <v>3237.9149999999995</v>
      </c>
      <c r="P107" s="19">
        <f t="shared" si="15"/>
        <v>18348.184999999998</v>
      </c>
    </row>
    <row r="108" spans="1:16" x14ac:dyDescent="0.25">
      <c r="A108" s="16">
        <v>107</v>
      </c>
      <c r="B108" s="16" t="s">
        <v>142</v>
      </c>
      <c r="C108" s="16" t="s">
        <v>24</v>
      </c>
      <c r="D108" s="16" t="s">
        <v>25</v>
      </c>
      <c r="E108" s="16" t="s">
        <v>51</v>
      </c>
      <c r="F108" s="16" t="s">
        <v>48</v>
      </c>
      <c r="G108" s="16" t="s">
        <v>21</v>
      </c>
      <c r="H108" s="16">
        <v>13</v>
      </c>
      <c r="I108" s="16" t="s">
        <v>34</v>
      </c>
      <c r="J108" s="17">
        <v>25372</v>
      </c>
      <c r="K108" s="17">
        <f t="shared" si="12"/>
        <v>5074.4000000000005</v>
      </c>
      <c r="L108" s="17">
        <f>500</f>
        <v>500</v>
      </c>
      <c r="M108" s="17">
        <f>J108*0.12</f>
        <v>3044.64</v>
      </c>
      <c r="N108" s="17">
        <f t="shared" si="13"/>
        <v>33991.040000000001</v>
      </c>
      <c r="O108" s="17">
        <f t="shared" si="14"/>
        <v>5098.6559999999999</v>
      </c>
      <c r="P108" s="17">
        <f t="shared" si="15"/>
        <v>28892.384000000002</v>
      </c>
    </row>
    <row r="109" spans="1:16" x14ac:dyDescent="0.25">
      <c r="A109" s="18">
        <v>108</v>
      </c>
      <c r="B109" s="18" t="s">
        <v>63</v>
      </c>
      <c r="C109" s="18" t="s">
        <v>24</v>
      </c>
      <c r="D109" s="18" t="s">
        <v>18</v>
      </c>
      <c r="E109" s="18" t="s">
        <v>85</v>
      </c>
      <c r="F109" s="18" t="s">
        <v>48</v>
      </c>
      <c r="G109" s="18" t="s">
        <v>38</v>
      </c>
      <c r="H109" s="18">
        <v>10</v>
      </c>
      <c r="I109" s="18" t="s">
        <v>28</v>
      </c>
      <c r="J109" s="19">
        <v>12294</v>
      </c>
      <c r="K109" s="19">
        <f t="shared" si="12"/>
        <v>2458.8000000000002</v>
      </c>
      <c r="L109" s="19">
        <f>500</f>
        <v>500</v>
      </c>
      <c r="M109" s="19">
        <f>J109*0</f>
        <v>0</v>
      </c>
      <c r="N109" s="19">
        <f t="shared" si="13"/>
        <v>15252.8</v>
      </c>
      <c r="O109" s="19">
        <f t="shared" si="14"/>
        <v>2287.9199999999996</v>
      </c>
      <c r="P109" s="19">
        <f t="shared" si="15"/>
        <v>12964.88</v>
      </c>
    </row>
    <row r="110" spans="1:16" x14ac:dyDescent="0.25">
      <c r="A110" s="16">
        <v>109</v>
      </c>
      <c r="B110" s="16" t="s">
        <v>143</v>
      </c>
      <c r="C110" s="16" t="s">
        <v>17</v>
      </c>
      <c r="D110" s="16" t="s">
        <v>25</v>
      </c>
      <c r="E110" s="16" t="s">
        <v>26</v>
      </c>
      <c r="F110" s="16" t="s">
        <v>20</v>
      </c>
      <c r="G110" s="16" t="s">
        <v>38</v>
      </c>
      <c r="H110" s="16">
        <v>7</v>
      </c>
      <c r="I110" s="16" t="s">
        <v>28</v>
      </c>
      <c r="J110" s="17">
        <v>12335</v>
      </c>
      <c r="K110" s="17">
        <f t="shared" si="12"/>
        <v>2467</v>
      </c>
      <c r="L110" s="17">
        <f>500</f>
        <v>500</v>
      </c>
      <c r="M110" s="17">
        <f>J110*0</f>
        <v>0</v>
      </c>
      <c r="N110" s="17">
        <f t="shared" si="13"/>
        <v>15302</v>
      </c>
      <c r="O110" s="17">
        <f t="shared" si="14"/>
        <v>2295.2999999999997</v>
      </c>
      <c r="P110" s="17">
        <f t="shared" si="15"/>
        <v>13006.7</v>
      </c>
    </row>
    <row r="111" spans="1:16" x14ac:dyDescent="0.25">
      <c r="A111" s="18">
        <v>110</v>
      </c>
      <c r="B111" s="18" t="s">
        <v>144</v>
      </c>
      <c r="C111" s="18" t="s">
        <v>24</v>
      </c>
      <c r="D111" s="18" t="s">
        <v>36</v>
      </c>
      <c r="E111" s="18" t="s">
        <v>120</v>
      </c>
      <c r="F111" s="18" t="s">
        <v>20</v>
      </c>
      <c r="G111" s="18" t="s">
        <v>21</v>
      </c>
      <c r="H111" s="18">
        <v>13</v>
      </c>
      <c r="I111" s="18" t="s">
        <v>49</v>
      </c>
      <c r="J111" s="19">
        <v>14071</v>
      </c>
      <c r="K111" s="19">
        <f t="shared" si="12"/>
        <v>2814.2000000000003</v>
      </c>
      <c r="L111" s="19">
        <f>500</f>
        <v>500</v>
      </c>
      <c r="M111" s="19">
        <f>J111*0.06</f>
        <v>844.26</v>
      </c>
      <c r="N111" s="19">
        <f t="shared" si="13"/>
        <v>18229.46</v>
      </c>
      <c r="O111" s="19">
        <f t="shared" si="14"/>
        <v>2734.4189999999999</v>
      </c>
      <c r="P111" s="19">
        <f t="shared" si="15"/>
        <v>15495.040999999999</v>
      </c>
    </row>
    <row r="112" spans="1:16" x14ac:dyDescent="0.25">
      <c r="A112" s="16">
        <v>111</v>
      </c>
      <c r="B112" s="16" t="s">
        <v>79</v>
      </c>
      <c r="C112" s="16" t="s">
        <v>24</v>
      </c>
      <c r="D112" s="16" t="s">
        <v>30</v>
      </c>
      <c r="E112" s="16" t="s">
        <v>31</v>
      </c>
      <c r="F112" s="16" t="s">
        <v>58</v>
      </c>
      <c r="G112" s="16" t="s">
        <v>33</v>
      </c>
      <c r="H112" s="16">
        <v>3</v>
      </c>
      <c r="I112" s="16" t="s">
        <v>49</v>
      </c>
      <c r="J112" s="17">
        <v>13792</v>
      </c>
      <c r="K112" s="17">
        <f t="shared" si="12"/>
        <v>2758.4</v>
      </c>
      <c r="L112" s="17">
        <f>500</f>
        <v>500</v>
      </c>
      <c r="M112" s="17">
        <f>J112*0.06</f>
        <v>827.52</v>
      </c>
      <c r="N112" s="17">
        <f t="shared" si="13"/>
        <v>17877.920000000002</v>
      </c>
      <c r="O112" s="17">
        <f t="shared" si="14"/>
        <v>2681.6880000000001</v>
      </c>
      <c r="P112" s="17">
        <f t="shared" si="15"/>
        <v>15196.232000000002</v>
      </c>
    </row>
    <row r="113" spans="1:16" x14ac:dyDescent="0.25">
      <c r="A113" s="18">
        <v>112</v>
      </c>
      <c r="B113" s="18" t="s">
        <v>145</v>
      </c>
      <c r="C113" s="18" t="s">
        <v>24</v>
      </c>
      <c r="D113" s="18" t="s">
        <v>46</v>
      </c>
      <c r="E113" s="18" t="s">
        <v>83</v>
      </c>
      <c r="F113" s="18" t="s">
        <v>32</v>
      </c>
      <c r="G113" s="18" t="s">
        <v>27</v>
      </c>
      <c r="H113" s="18">
        <v>3</v>
      </c>
      <c r="I113" s="18" t="s">
        <v>22</v>
      </c>
      <c r="J113" s="19">
        <v>23225</v>
      </c>
      <c r="K113" s="19">
        <f t="shared" si="12"/>
        <v>4645</v>
      </c>
      <c r="L113" s="19">
        <f>500</f>
        <v>500</v>
      </c>
      <c r="M113" s="19">
        <f>J113*0.2</f>
        <v>4645</v>
      </c>
      <c r="N113" s="19">
        <f t="shared" si="13"/>
        <v>33015</v>
      </c>
      <c r="O113" s="19">
        <f t="shared" si="14"/>
        <v>4952.25</v>
      </c>
      <c r="P113" s="19">
        <f t="shared" si="15"/>
        <v>28062.75</v>
      </c>
    </row>
    <row r="114" spans="1:16" x14ac:dyDescent="0.25">
      <c r="A114" s="16">
        <v>113</v>
      </c>
      <c r="B114" s="16" t="s">
        <v>146</v>
      </c>
      <c r="C114" s="16" t="s">
        <v>24</v>
      </c>
      <c r="D114" s="16" t="s">
        <v>53</v>
      </c>
      <c r="E114" s="16" t="s">
        <v>74</v>
      </c>
      <c r="F114" s="16" t="s">
        <v>48</v>
      </c>
      <c r="G114" s="16" t="s">
        <v>38</v>
      </c>
      <c r="H114" s="16">
        <v>2</v>
      </c>
      <c r="I114" s="16" t="s">
        <v>28</v>
      </c>
      <c r="J114" s="17">
        <v>6230</v>
      </c>
      <c r="K114" s="17">
        <f t="shared" si="12"/>
        <v>1246</v>
      </c>
      <c r="L114" s="17">
        <f>500</f>
        <v>500</v>
      </c>
      <c r="M114" s="17">
        <f>J114*0</f>
        <v>0</v>
      </c>
      <c r="N114" s="17">
        <f t="shared" si="13"/>
        <v>7976</v>
      </c>
      <c r="O114" s="17">
        <f t="shared" si="14"/>
        <v>797.6</v>
      </c>
      <c r="P114" s="17">
        <f t="shared" si="15"/>
        <v>7178.4</v>
      </c>
    </row>
    <row r="115" spans="1:16" x14ac:dyDescent="0.25">
      <c r="A115" s="18">
        <v>114</v>
      </c>
      <c r="B115" s="18" t="s">
        <v>29</v>
      </c>
      <c r="C115" s="18" t="s">
        <v>24</v>
      </c>
      <c r="D115" s="18" t="s">
        <v>25</v>
      </c>
      <c r="E115" s="18" t="s">
        <v>71</v>
      </c>
      <c r="F115" s="18" t="s">
        <v>58</v>
      </c>
      <c r="G115" s="18" t="s">
        <v>33</v>
      </c>
      <c r="H115" s="18">
        <v>6</v>
      </c>
      <c r="I115" s="18" t="s">
        <v>34</v>
      </c>
      <c r="J115" s="19">
        <v>13256</v>
      </c>
      <c r="K115" s="19">
        <f t="shared" si="12"/>
        <v>2651.2000000000003</v>
      </c>
      <c r="L115" s="19">
        <f>500</f>
        <v>500</v>
      </c>
      <c r="M115" s="19">
        <f>J115*0.12</f>
        <v>1590.72</v>
      </c>
      <c r="N115" s="19">
        <f t="shared" si="13"/>
        <v>17997.920000000002</v>
      </c>
      <c r="O115" s="19">
        <f t="shared" si="14"/>
        <v>2699.6880000000001</v>
      </c>
      <c r="P115" s="19">
        <f t="shared" si="15"/>
        <v>15298.232000000002</v>
      </c>
    </row>
    <row r="116" spans="1:16" x14ac:dyDescent="0.25">
      <c r="A116" s="16">
        <v>115</v>
      </c>
      <c r="B116" s="16" t="s">
        <v>78</v>
      </c>
      <c r="C116" s="16" t="s">
        <v>24</v>
      </c>
      <c r="D116" s="16" t="s">
        <v>30</v>
      </c>
      <c r="E116" s="16" t="s">
        <v>68</v>
      </c>
      <c r="F116" s="16" t="s">
        <v>58</v>
      </c>
      <c r="G116" s="16" t="s">
        <v>27</v>
      </c>
      <c r="H116" s="16">
        <v>2</v>
      </c>
      <c r="I116" s="16" t="s">
        <v>22</v>
      </c>
      <c r="J116" s="17">
        <v>19974</v>
      </c>
      <c r="K116" s="17">
        <f t="shared" si="12"/>
        <v>3994.8</v>
      </c>
      <c r="L116" s="17">
        <f>500</f>
        <v>500</v>
      </c>
      <c r="M116" s="17">
        <f>J116*0.2</f>
        <v>3994.8</v>
      </c>
      <c r="N116" s="17">
        <f t="shared" si="13"/>
        <v>28463.599999999999</v>
      </c>
      <c r="O116" s="17">
        <f t="shared" si="14"/>
        <v>4269.54</v>
      </c>
      <c r="P116" s="17">
        <f t="shared" si="15"/>
        <v>24194.059999999998</v>
      </c>
    </row>
    <row r="117" spans="1:16" x14ac:dyDescent="0.25">
      <c r="A117" s="18">
        <v>116</v>
      </c>
      <c r="B117" s="18" t="s">
        <v>99</v>
      </c>
      <c r="C117" s="18" t="s">
        <v>17</v>
      </c>
      <c r="D117" s="18" t="s">
        <v>40</v>
      </c>
      <c r="E117" s="18" t="s">
        <v>43</v>
      </c>
      <c r="F117" s="18" t="s">
        <v>32</v>
      </c>
      <c r="G117" s="18" t="s">
        <v>38</v>
      </c>
      <c r="H117" s="18">
        <v>14</v>
      </c>
      <c r="I117" s="18" t="s">
        <v>49</v>
      </c>
      <c r="J117" s="19">
        <v>18738</v>
      </c>
      <c r="K117" s="19">
        <f t="shared" si="12"/>
        <v>3747.6000000000004</v>
      </c>
      <c r="L117" s="19">
        <f>500</f>
        <v>500</v>
      </c>
      <c r="M117" s="19">
        <f>J117*0.06</f>
        <v>1124.28</v>
      </c>
      <c r="N117" s="19">
        <f t="shared" si="13"/>
        <v>24109.879999999997</v>
      </c>
      <c r="O117" s="19">
        <f t="shared" si="14"/>
        <v>3616.4819999999995</v>
      </c>
      <c r="P117" s="19">
        <f t="shared" si="15"/>
        <v>20493.397999999997</v>
      </c>
    </row>
    <row r="118" spans="1:16" x14ac:dyDescent="0.25">
      <c r="A118" s="16">
        <v>117</v>
      </c>
      <c r="B118" s="16" t="s">
        <v>147</v>
      </c>
      <c r="C118" s="16" t="s">
        <v>17</v>
      </c>
      <c r="D118" s="16" t="s">
        <v>25</v>
      </c>
      <c r="E118" s="16" t="s">
        <v>71</v>
      </c>
      <c r="F118" s="16" t="s">
        <v>48</v>
      </c>
      <c r="G118" s="16" t="s">
        <v>27</v>
      </c>
      <c r="H118" s="16">
        <v>1</v>
      </c>
      <c r="I118" s="16" t="s">
        <v>22</v>
      </c>
      <c r="J118" s="17">
        <v>13986</v>
      </c>
      <c r="K118" s="17">
        <f t="shared" si="12"/>
        <v>2797.2000000000003</v>
      </c>
      <c r="L118" s="17">
        <f>500</f>
        <v>500</v>
      </c>
      <c r="M118" s="17">
        <f>J118*0.2</f>
        <v>2797.2000000000003</v>
      </c>
      <c r="N118" s="17">
        <f t="shared" si="13"/>
        <v>20080.400000000001</v>
      </c>
      <c r="O118" s="17">
        <f t="shared" si="14"/>
        <v>3012.06</v>
      </c>
      <c r="P118" s="17">
        <f t="shared" si="15"/>
        <v>17068.34</v>
      </c>
    </row>
    <row r="119" spans="1:16" x14ac:dyDescent="0.25">
      <c r="A119" s="18">
        <v>118</v>
      </c>
      <c r="B119" s="18" t="s">
        <v>121</v>
      </c>
      <c r="C119" s="18" t="s">
        <v>17</v>
      </c>
      <c r="D119" s="18" t="s">
        <v>25</v>
      </c>
      <c r="E119" s="18" t="s">
        <v>71</v>
      </c>
      <c r="F119" s="18" t="s">
        <v>48</v>
      </c>
      <c r="G119" s="18" t="s">
        <v>27</v>
      </c>
      <c r="H119" s="18">
        <v>16</v>
      </c>
      <c r="I119" s="18" t="s">
        <v>28</v>
      </c>
      <c r="J119" s="19">
        <v>15903</v>
      </c>
      <c r="K119" s="19">
        <f t="shared" si="12"/>
        <v>3180.6000000000004</v>
      </c>
      <c r="L119" s="19">
        <f>500</f>
        <v>500</v>
      </c>
      <c r="M119" s="19">
        <f>J119*0</f>
        <v>0</v>
      </c>
      <c r="N119" s="19">
        <f t="shared" si="13"/>
        <v>19583.599999999999</v>
      </c>
      <c r="O119" s="19">
        <f t="shared" si="14"/>
        <v>2937.5399999999995</v>
      </c>
      <c r="P119" s="19">
        <f t="shared" si="15"/>
        <v>16646.059999999998</v>
      </c>
    </row>
    <row r="120" spans="1:16" x14ac:dyDescent="0.25">
      <c r="A120" s="16">
        <v>119</v>
      </c>
      <c r="B120" s="16" t="s">
        <v>148</v>
      </c>
      <c r="C120" s="16" t="s">
        <v>24</v>
      </c>
      <c r="D120" s="16" t="s">
        <v>46</v>
      </c>
      <c r="E120" s="16" t="s">
        <v>83</v>
      </c>
      <c r="F120" s="16" t="s">
        <v>48</v>
      </c>
      <c r="G120" s="16" t="s">
        <v>21</v>
      </c>
      <c r="H120" s="16">
        <v>2</v>
      </c>
      <c r="I120" s="16" t="s">
        <v>34</v>
      </c>
      <c r="J120" s="17">
        <v>21062</v>
      </c>
      <c r="K120" s="17">
        <f t="shared" si="12"/>
        <v>4212.4000000000005</v>
      </c>
      <c r="L120" s="17">
        <f>500</f>
        <v>500</v>
      </c>
      <c r="M120" s="17">
        <f>J120*0.12</f>
        <v>2527.44</v>
      </c>
      <c r="N120" s="17">
        <f t="shared" si="13"/>
        <v>28301.84</v>
      </c>
      <c r="O120" s="17">
        <f t="shared" si="14"/>
        <v>4245.2759999999998</v>
      </c>
      <c r="P120" s="17">
        <f t="shared" si="15"/>
        <v>24056.563999999998</v>
      </c>
    </row>
    <row r="121" spans="1:16" x14ac:dyDescent="0.25">
      <c r="A121" s="18">
        <v>120</v>
      </c>
      <c r="B121" s="18" t="s">
        <v>126</v>
      </c>
      <c r="C121" s="18" t="s">
        <v>17</v>
      </c>
      <c r="D121" s="18" t="s">
        <v>30</v>
      </c>
      <c r="E121" s="18" t="s">
        <v>31</v>
      </c>
      <c r="F121" s="18" t="s">
        <v>48</v>
      </c>
      <c r="G121" s="18" t="s">
        <v>27</v>
      </c>
      <c r="H121" s="18">
        <v>1</v>
      </c>
      <c r="I121" s="18" t="s">
        <v>22</v>
      </c>
      <c r="J121" s="19">
        <v>14064</v>
      </c>
      <c r="K121" s="19">
        <f t="shared" si="12"/>
        <v>2812.8</v>
      </c>
      <c r="L121" s="19">
        <f>500</f>
        <v>500</v>
      </c>
      <c r="M121" s="19">
        <f>J121*0.2</f>
        <v>2812.8</v>
      </c>
      <c r="N121" s="19">
        <f t="shared" si="13"/>
        <v>20189.599999999999</v>
      </c>
      <c r="O121" s="19">
        <f t="shared" si="14"/>
        <v>3028.4399999999996</v>
      </c>
      <c r="P121" s="19">
        <f t="shared" si="15"/>
        <v>17161.16</v>
      </c>
    </row>
    <row r="122" spans="1:16" x14ac:dyDescent="0.25">
      <c r="A122" s="16">
        <v>121</v>
      </c>
      <c r="B122" s="16" t="s">
        <v>149</v>
      </c>
      <c r="C122" s="16" t="s">
        <v>24</v>
      </c>
      <c r="D122" s="16" t="s">
        <v>25</v>
      </c>
      <c r="E122" s="16" t="s">
        <v>26</v>
      </c>
      <c r="F122" s="16" t="s">
        <v>58</v>
      </c>
      <c r="G122" s="16" t="s">
        <v>27</v>
      </c>
      <c r="H122" s="16">
        <v>3</v>
      </c>
      <c r="I122" s="16" t="s">
        <v>49</v>
      </c>
      <c r="J122" s="17">
        <v>11158</v>
      </c>
      <c r="K122" s="17">
        <f t="shared" si="12"/>
        <v>2231.6</v>
      </c>
      <c r="L122" s="17">
        <f>500</f>
        <v>500</v>
      </c>
      <c r="M122" s="17">
        <f>J122*0.06</f>
        <v>669.48</v>
      </c>
      <c r="N122" s="17">
        <f t="shared" si="13"/>
        <v>14559.08</v>
      </c>
      <c r="O122" s="17">
        <f t="shared" si="14"/>
        <v>2183.8620000000001</v>
      </c>
      <c r="P122" s="17">
        <f t="shared" si="15"/>
        <v>12375.218000000001</v>
      </c>
    </row>
    <row r="123" spans="1:16" x14ac:dyDescent="0.25">
      <c r="A123" s="18">
        <v>122</v>
      </c>
      <c r="B123" s="18" t="s">
        <v>150</v>
      </c>
      <c r="C123" s="18" t="s">
        <v>17</v>
      </c>
      <c r="D123" s="18" t="s">
        <v>40</v>
      </c>
      <c r="E123" s="18" t="s">
        <v>43</v>
      </c>
      <c r="F123" s="18" t="s">
        <v>48</v>
      </c>
      <c r="G123" s="18" t="s">
        <v>27</v>
      </c>
      <c r="H123" s="18">
        <v>9</v>
      </c>
      <c r="I123" s="18" t="s">
        <v>28</v>
      </c>
      <c r="J123" s="19">
        <v>15728</v>
      </c>
      <c r="K123" s="19">
        <f t="shared" si="12"/>
        <v>3145.6000000000004</v>
      </c>
      <c r="L123" s="19">
        <f>500</f>
        <v>500</v>
      </c>
      <c r="M123" s="19">
        <f>J123*0</f>
        <v>0</v>
      </c>
      <c r="N123" s="19">
        <f t="shared" si="13"/>
        <v>19373.599999999999</v>
      </c>
      <c r="O123" s="19">
        <f t="shared" si="14"/>
        <v>2906.0399999999995</v>
      </c>
      <c r="P123" s="19">
        <f t="shared" si="15"/>
        <v>16467.559999999998</v>
      </c>
    </row>
    <row r="124" spans="1:16" x14ac:dyDescent="0.25">
      <c r="A124" s="16">
        <v>123</v>
      </c>
      <c r="B124" s="16" t="s">
        <v>151</v>
      </c>
      <c r="C124" s="16" t="s">
        <v>17</v>
      </c>
      <c r="D124" s="16" t="s">
        <v>36</v>
      </c>
      <c r="E124" s="16" t="s">
        <v>120</v>
      </c>
      <c r="F124" s="16" t="s">
        <v>44</v>
      </c>
      <c r="G124" s="16" t="s">
        <v>21</v>
      </c>
      <c r="H124" s="16">
        <v>7</v>
      </c>
      <c r="I124" s="16" t="s">
        <v>34</v>
      </c>
      <c r="J124" s="17">
        <v>12551</v>
      </c>
      <c r="K124" s="17">
        <f t="shared" si="12"/>
        <v>2510.2000000000003</v>
      </c>
      <c r="L124" s="17">
        <f>500</f>
        <v>500</v>
      </c>
      <c r="M124" s="17">
        <f>J124*0.12</f>
        <v>1506.12</v>
      </c>
      <c r="N124" s="17">
        <f t="shared" si="13"/>
        <v>17067.32</v>
      </c>
      <c r="O124" s="17">
        <f t="shared" si="14"/>
        <v>2560.098</v>
      </c>
      <c r="P124" s="17">
        <f t="shared" si="15"/>
        <v>14507.222</v>
      </c>
    </row>
    <row r="125" spans="1:16" x14ac:dyDescent="0.25">
      <c r="A125" s="18">
        <v>124</v>
      </c>
      <c r="B125" s="18" t="s">
        <v>152</v>
      </c>
      <c r="C125" s="18" t="s">
        <v>17</v>
      </c>
      <c r="D125" s="18" t="s">
        <v>36</v>
      </c>
      <c r="E125" s="18" t="s">
        <v>120</v>
      </c>
      <c r="F125" s="18" t="s">
        <v>20</v>
      </c>
      <c r="G125" s="18" t="s">
        <v>21</v>
      </c>
      <c r="H125" s="18">
        <v>12</v>
      </c>
      <c r="I125" s="18" t="s">
        <v>28</v>
      </c>
      <c r="J125" s="19">
        <v>14169</v>
      </c>
      <c r="K125" s="19">
        <f t="shared" si="12"/>
        <v>2833.8</v>
      </c>
      <c r="L125" s="19">
        <f>500</f>
        <v>500</v>
      </c>
      <c r="M125" s="19">
        <f>J125*0</f>
        <v>0</v>
      </c>
      <c r="N125" s="19">
        <f t="shared" si="13"/>
        <v>17502.8</v>
      </c>
      <c r="O125" s="19">
        <f t="shared" si="14"/>
        <v>2625.4199999999996</v>
      </c>
      <c r="P125" s="19">
        <f t="shared" si="15"/>
        <v>14877.38</v>
      </c>
    </row>
    <row r="126" spans="1:16" x14ac:dyDescent="0.25">
      <c r="A126" s="16">
        <v>125</v>
      </c>
      <c r="B126" s="16" t="s">
        <v>153</v>
      </c>
      <c r="C126" s="16" t="s">
        <v>24</v>
      </c>
      <c r="D126" s="16" t="s">
        <v>18</v>
      </c>
      <c r="E126" s="16" t="s">
        <v>85</v>
      </c>
      <c r="F126" s="16" t="s">
        <v>44</v>
      </c>
      <c r="G126" s="16" t="s">
        <v>38</v>
      </c>
      <c r="H126" s="16">
        <v>13</v>
      </c>
      <c r="I126" s="16" t="s">
        <v>49</v>
      </c>
      <c r="J126" s="17">
        <v>11843</v>
      </c>
      <c r="K126" s="17">
        <f t="shared" si="12"/>
        <v>2368.6</v>
      </c>
      <c r="L126" s="17">
        <f>500</f>
        <v>500</v>
      </c>
      <c r="M126" s="17">
        <f>J126*0.06</f>
        <v>710.57999999999993</v>
      </c>
      <c r="N126" s="17">
        <f t="shared" si="13"/>
        <v>15422.18</v>
      </c>
      <c r="O126" s="17">
        <f t="shared" si="14"/>
        <v>2313.3269999999998</v>
      </c>
      <c r="P126" s="17">
        <f t="shared" si="15"/>
        <v>13108.853000000001</v>
      </c>
    </row>
    <row r="127" spans="1:16" x14ac:dyDescent="0.25">
      <c r="A127" s="18">
        <v>126</v>
      </c>
      <c r="B127" s="18" t="s">
        <v>76</v>
      </c>
      <c r="C127" s="18" t="s">
        <v>17</v>
      </c>
      <c r="D127" s="18" t="s">
        <v>25</v>
      </c>
      <c r="E127" s="18" t="s">
        <v>51</v>
      </c>
      <c r="F127" s="18" t="s">
        <v>58</v>
      </c>
      <c r="G127" s="18" t="s">
        <v>21</v>
      </c>
      <c r="H127" s="18">
        <v>10</v>
      </c>
      <c r="I127" s="18" t="s">
        <v>49</v>
      </c>
      <c r="J127" s="19">
        <v>22287</v>
      </c>
      <c r="K127" s="19">
        <f t="shared" si="12"/>
        <v>4457.4000000000005</v>
      </c>
      <c r="L127" s="19">
        <f>500</f>
        <v>500</v>
      </c>
      <c r="M127" s="19">
        <f>J127*0.06</f>
        <v>1337.22</v>
      </c>
      <c r="N127" s="19">
        <f t="shared" si="13"/>
        <v>28581.620000000003</v>
      </c>
      <c r="O127" s="19">
        <f t="shared" si="14"/>
        <v>4287.2430000000004</v>
      </c>
      <c r="P127" s="19">
        <f t="shared" si="15"/>
        <v>24294.377</v>
      </c>
    </row>
    <row r="128" spans="1:16" x14ac:dyDescent="0.25">
      <c r="A128" s="16">
        <v>127</v>
      </c>
      <c r="B128" s="16" t="s">
        <v>75</v>
      </c>
      <c r="C128" s="16" t="s">
        <v>17</v>
      </c>
      <c r="D128" s="16" t="s">
        <v>36</v>
      </c>
      <c r="E128" s="16" t="s">
        <v>62</v>
      </c>
      <c r="F128" s="16" t="s">
        <v>44</v>
      </c>
      <c r="G128" s="16" t="s">
        <v>33</v>
      </c>
      <c r="H128" s="16">
        <v>14</v>
      </c>
      <c r="I128" s="16" t="s">
        <v>49</v>
      </c>
      <c r="J128" s="17">
        <v>28771</v>
      </c>
      <c r="K128" s="17">
        <f t="shared" si="12"/>
        <v>5754.2000000000007</v>
      </c>
      <c r="L128" s="17">
        <f>500</f>
        <v>500</v>
      </c>
      <c r="M128" s="17">
        <f>J128*0.06</f>
        <v>1726.26</v>
      </c>
      <c r="N128" s="17">
        <f t="shared" si="13"/>
        <v>36751.46</v>
      </c>
      <c r="O128" s="17">
        <f t="shared" si="14"/>
        <v>5512.7190000000001</v>
      </c>
      <c r="P128" s="17">
        <f t="shared" si="15"/>
        <v>31238.740999999998</v>
      </c>
    </row>
    <row r="129" spans="1:16" x14ac:dyDescent="0.25">
      <c r="A129" s="18">
        <v>128</v>
      </c>
      <c r="B129" s="18" t="s">
        <v>90</v>
      </c>
      <c r="C129" s="18" t="s">
        <v>24</v>
      </c>
      <c r="D129" s="18" t="s">
        <v>40</v>
      </c>
      <c r="E129" s="18" t="s">
        <v>41</v>
      </c>
      <c r="F129" s="18" t="s">
        <v>20</v>
      </c>
      <c r="G129" s="18" t="s">
        <v>21</v>
      </c>
      <c r="H129" s="18">
        <v>2</v>
      </c>
      <c r="I129" s="18" t="s">
        <v>22</v>
      </c>
      <c r="J129" s="19">
        <v>23836</v>
      </c>
      <c r="K129" s="19">
        <f t="shared" si="12"/>
        <v>4767.2</v>
      </c>
      <c r="L129" s="19">
        <f>500</f>
        <v>500</v>
      </c>
      <c r="M129" s="19">
        <f>J129*0.2</f>
        <v>4767.2</v>
      </c>
      <c r="N129" s="19">
        <f t="shared" si="13"/>
        <v>33870.400000000001</v>
      </c>
      <c r="O129" s="19">
        <f t="shared" si="14"/>
        <v>5080.5600000000004</v>
      </c>
      <c r="P129" s="19">
        <f t="shared" si="15"/>
        <v>28789.84</v>
      </c>
    </row>
    <row r="130" spans="1:16" x14ac:dyDescent="0.25">
      <c r="A130" s="16">
        <v>129</v>
      </c>
      <c r="B130" s="16" t="s">
        <v>122</v>
      </c>
      <c r="C130" s="16" t="s">
        <v>17</v>
      </c>
      <c r="D130" s="16" t="s">
        <v>46</v>
      </c>
      <c r="E130" s="16" t="s">
        <v>47</v>
      </c>
      <c r="F130" s="16" t="s">
        <v>58</v>
      </c>
      <c r="G130" s="16" t="s">
        <v>33</v>
      </c>
      <c r="H130" s="16">
        <v>19</v>
      </c>
      <c r="I130" s="16" t="s">
        <v>49</v>
      </c>
      <c r="J130" s="17">
        <v>26014</v>
      </c>
      <c r="K130" s="17">
        <f t="shared" ref="K130:K161" si="16">J130*0.2</f>
        <v>5202.8</v>
      </c>
      <c r="L130" s="17">
        <f>500</f>
        <v>500</v>
      </c>
      <c r="M130" s="17">
        <f>J130*0.06</f>
        <v>1560.84</v>
      </c>
      <c r="N130" s="17">
        <f t="shared" ref="N130:N161" si="17">J130+K130+L130+M130</f>
        <v>33277.64</v>
      </c>
      <c r="O130" s="17">
        <f t="shared" ref="O130:O161" si="18">IF(N130&gt;10000,N130*0.15,N130*0.1)</f>
        <v>4991.6459999999997</v>
      </c>
      <c r="P130" s="17">
        <f t="shared" ref="P130:P161" si="19">N130-O130</f>
        <v>28285.993999999999</v>
      </c>
    </row>
    <row r="131" spans="1:16" x14ac:dyDescent="0.25">
      <c r="A131" s="18">
        <v>130</v>
      </c>
      <c r="B131" s="18" t="s">
        <v>67</v>
      </c>
      <c r="C131" s="18" t="s">
        <v>24</v>
      </c>
      <c r="D131" s="18" t="s">
        <v>53</v>
      </c>
      <c r="E131" s="18" t="s">
        <v>54</v>
      </c>
      <c r="F131" s="18" t="s">
        <v>58</v>
      </c>
      <c r="G131" s="18" t="s">
        <v>27</v>
      </c>
      <c r="H131" s="18">
        <v>1</v>
      </c>
      <c r="I131" s="18" t="s">
        <v>34</v>
      </c>
      <c r="J131" s="19">
        <v>12082</v>
      </c>
      <c r="K131" s="19">
        <f t="shared" si="16"/>
        <v>2416.4</v>
      </c>
      <c r="L131" s="19">
        <f>500</f>
        <v>500</v>
      </c>
      <c r="M131" s="19">
        <f>J131*0.12</f>
        <v>1449.84</v>
      </c>
      <c r="N131" s="19">
        <f t="shared" si="17"/>
        <v>16448.239999999998</v>
      </c>
      <c r="O131" s="19">
        <f t="shared" si="18"/>
        <v>2467.2359999999994</v>
      </c>
      <c r="P131" s="19">
        <f t="shared" si="19"/>
        <v>13981.003999999999</v>
      </c>
    </row>
    <row r="132" spans="1:16" x14ac:dyDescent="0.25">
      <c r="A132" s="16">
        <v>131</v>
      </c>
      <c r="B132" s="16" t="s">
        <v>55</v>
      </c>
      <c r="C132" s="16" t="s">
        <v>17</v>
      </c>
      <c r="D132" s="16" t="s">
        <v>18</v>
      </c>
      <c r="E132" s="16" t="s">
        <v>19</v>
      </c>
      <c r="F132" s="16" t="s">
        <v>44</v>
      </c>
      <c r="G132" s="16" t="s">
        <v>33</v>
      </c>
      <c r="H132" s="16">
        <v>9</v>
      </c>
      <c r="I132" s="16" t="s">
        <v>22</v>
      </c>
      <c r="J132" s="17">
        <v>18335</v>
      </c>
      <c r="K132" s="17">
        <f t="shared" si="16"/>
        <v>3667</v>
      </c>
      <c r="L132" s="17">
        <f>500</f>
        <v>500</v>
      </c>
      <c r="M132" s="17">
        <f>J132*0.2</f>
        <v>3667</v>
      </c>
      <c r="N132" s="17">
        <f t="shared" si="17"/>
        <v>26169</v>
      </c>
      <c r="O132" s="17">
        <f t="shared" si="18"/>
        <v>3925.35</v>
      </c>
      <c r="P132" s="17">
        <f t="shared" si="19"/>
        <v>22243.65</v>
      </c>
    </row>
    <row r="133" spans="1:16" x14ac:dyDescent="0.25">
      <c r="A133" s="18">
        <v>132</v>
      </c>
      <c r="B133" s="18" t="s">
        <v>154</v>
      </c>
      <c r="C133" s="18" t="s">
        <v>17</v>
      </c>
      <c r="D133" s="18" t="s">
        <v>25</v>
      </c>
      <c r="E133" s="18" t="s">
        <v>71</v>
      </c>
      <c r="F133" s="18" t="s">
        <v>32</v>
      </c>
      <c r="G133" s="18" t="s">
        <v>33</v>
      </c>
      <c r="H133" s="18">
        <v>8</v>
      </c>
      <c r="I133" s="18" t="s">
        <v>34</v>
      </c>
      <c r="J133" s="19">
        <v>16978</v>
      </c>
      <c r="K133" s="19">
        <f t="shared" si="16"/>
        <v>3395.6000000000004</v>
      </c>
      <c r="L133" s="19">
        <f>500</f>
        <v>500</v>
      </c>
      <c r="M133" s="19">
        <f>J133*0.12</f>
        <v>2037.36</v>
      </c>
      <c r="N133" s="19">
        <f t="shared" si="17"/>
        <v>22910.959999999999</v>
      </c>
      <c r="O133" s="19">
        <f t="shared" si="18"/>
        <v>3436.6439999999998</v>
      </c>
      <c r="P133" s="19">
        <f t="shared" si="19"/>
        <v>19474.315999999999</v>
      </c>
    </row>
    <row r="134" spans="1:16" x14ac:dyDescent="0.25">
      <c r="A134" s="16">
        <v>133</v>
      </c>
      <c r="B134" s="16" t="s">
        <v>106</v>
      </c>
      <c r="C134" s="16" t="s">
        <v>24</v>
      </c>
      <c r="D134" s="16" t="s">
        <v>30</v>
      </c>
      <c r="E134" s="16" t="s">
        <v>66</v>
      </c>
      <c r="F134" s="16" t="s">
        <v>58</v>
      </c>
      <c r="G134" s="16" t="s">
        <v>27</v>
      </c>
      <c r="H134" s="16">
        <v>6</v>
      </c>
      <c r="I134" s="16" t="s">
        <v>22</v>
      </c>
      <c r="J134" s="17">
        <v>9475</v>
      </c>
      <c r="K134" s="17">
        <f t="shared" si="16"/>
        <v>1895</v>
      </c>
      <c r="L134" s="17">
        <f>500</f>
        <v>500</v>
      </c>
      <c r="M134" s="17">
        <f>J134*0.2</f>
        <v>1895</v>
      </c>
      <c r="N134" s="17">
        <f t="shared" si="17"/>
        <v>13765</v>
      </c>
      <c r="O134" s="17">
        <f t="shared" si="18"/>
        <v>2064.75</v>
      </c>
      <c r="P134" s="17">
        <f t="shared" si="19"/>
        <v>11700.25</v>
      </c>
    </row>
    <row r="135" spans="1:16" x14ac:dyDescent="0.25">
      <c r="A135" s="18">
        <v>134</v>
      </c>
      <c r="B135" s="18" t="s">
        <v>155</v>
      </c>
      <c r="C135" s="18" t="s">
        <v>24</v>
      </c>
      <c r="D135" s="18" t="s">
        <v>40</v>
      </c>
      <c r="E135" s="18" t="s">
        <v>41</v>
      </c>
      <c r="F135" s="18" t="s">
        <v>58</v>
      </c>
      <c r="G135" s="18" t="s">
        <v>27</v>
      </c>
      <c r="H135" s="18">
        <v>14</v>
      </c>
      <c r="I135" s="18" t="s">
        <v>34</v>
      </c>
      <c r="J135" s="19">
        <v>28993</v>
      </c>
      <c r="K135" s="19">
        <f t="shared" si="16"/>
        <v>5798.6</v>
      </c>
      <c r="L135" s="19">
        <f>500</f>
        <v>500</v>
      </c>
      <c r="M135" s="19">
        <f>J135*0.12</f>
        <v>3479.16</v>
      </c>
      <c r="N135" s="19">
        <f t="shared" si="17"/>
        <v>38770.759999999995</v>
      </c>
      <c r="O135" s="19">
        <f t="shared" si="18"/>
        <v>5815.6139999999987</v>
      </c>
      <c r="P135" s="19">
        <f t="shared" si="19"/>
        <v>32955.145999999993</v>
      </c>
    </row>
    <row r="136" spans="1:16" x14ac:dyDescent="0.25">
      <c r="A136" s="16">
        <v>135</v>
      </c>
      <c r="B136" s="16" t="s">
        <v>156</v>
      </c>
      <c r="C136" s="16" t="s">
        <v>17</v>
      </c>
      <c r="D136" s="16" t="s">
        <v>40</v>
      </c>
      <c r="E136" s="16" t="s">
        <v>43</v>
      </c>
      <c r="F136" s="16" t="s">
        <v>20</v>
      </c>
      <c r="G136" s="16" t="s">
        <v>38</v>
      </c>
      <c r="H136" s="16">
        <v>2</v>
      </c>
      <c r="I136" s="16" t="s">
        <v>28</v>
      </c>
      <c r="J136" s="17">
        <v>15708</v>
      </c>
      <c r="K136" s="17">
        <f t="shared" si="16"/>
        <v>3141.6000000000004</v>
      </c>
      <c r="L136" s="17">
        <f>500</f>
        <v>500</v>
      </c>
      <c r="M136" s="17">
        <f>J136*0</f>
        <v>0</v>
      </c>
      <c r="N136" s="17">
        <f t="shared" si="17"/>
        <v>19349.599999999999</v>
      </c>
      <c r="O136" s="17">
        <f t="shared" si="18"/>
        <v>2902.4399999999996</v>
      </c>
      <c r="P136" s="17">
        <f t="shared" si="19"/>
        <v>16447.16</v>
      </c>
    </row>
    <row r="137" spans="1:16" x14ac:dyDescent="0.25">
      <c r="A137" s="18">
        <v>136</v>
      </c>
      <c r="B137" s="18" t="s">
        <v>157</v>
      </c>
      <c r="C137" s="18" t="s">
        <v>24</v>
      </c>
      <c r="D137" s="18" t="s">
        <v>18</v>
      </c>
      <c r="E137" s="18" t="s">
        <v>85</v>
      </c>
      <c r="F137" s="18" t="s">
        <v>20</v>
      </c>
      <c r="G137" s="18" t="s">
        <v>33</v>
      </c>
      <c r="H137" s="18">
        <v>6</v>
      </c>
      <c r="I137" s="18" t="s">
        <v>34</v>
      </c>
      <c r="J137" s="19">
        <v>11583</v>
      </c>
      <c r="K137" s="19">
        <f t="shared" si="16"/>
        <v>2316.6</v>
      </c>
      <c r="L137" s="19">
        <f>500</f>
        <v>500</v>
      </c>
      <c r="M137" s="19">
        <f>J137*0.12</f>
        <v>1389.96</v>
      </c>
      <c r="N137" s="19">
        <f t="shared" si="17"/>
        <v>15789.560000000001</v>
      </c>
      <c r="O137" s="19">
        <f t="shared" si="18"/>
        <v>2368.4340000000002</v>
      </c>
      <c r="P137" s="19">
        <f t="shared" si="19"/>
        <v>13421.126</v>
      </c>
    </row>
    <row r="138" spans="1:16" x14ac:dyDescent="0.25">
      <c r="A138" s="16">
        <v>137</v>
      </c>
      <c r="B138" s="16" t="s">
        <v>140</v>
      </c>
      <c r="C138" s="16" t="s">
        <v>17</v>
      </c>
      <c r="D138" s="16" t="s">
        <v>30</v>
      </c>
      <c r="E138" s="16" t="s">
        <v>66</v>
      </c>
      <c r="F138" s="16" t="s">
        <v>44</v>
      </c>
      <c r="G138" s="16" t="s">
        <v>21</v>
      </c>
      <c r="H138" s="16">
        <v>9</v>
      </c>
      <c r="I138" s="16" t="s">
        <v>28</v>
      </c>
      <c r="J138" s="17">
        <v>9482</v>
      </c>
      <c r="K138" s="17">
        <f t="shared" si="16"/>
        <v>1896.4</v>
      </c>
      <c r="L138" s="17">
        <f>500</f>
        <v>500</v>
      </c>
      <c r="M138" s="17">
        <f>J138*0</f>
        <v>0</v>
      </c>
      <c r="N138" s="17">
        <f t="shared" si="17"/>
        <v>11878.4</v>
      </c>
      <c r="O138" s="17">
        <f t="shared" si="18"/>
        <v>1781.76</v>
      </c>
      <c r="P138" s="17">
        <f t="shared" si="19"/>
        <v>10096.64</v>
      </c>
    </row>
    <row r="139" spans="1:16" x14ac:dyDescent="0.25">
      <c r="A139" s="18">
        <v>138</v>
      </c>
      <c r="B139" s="18" t="s">
        <v>158</v>
      </c>
      <c r="C139" s="18" t="s">
        <v>17</v>
      </c>
      <c r="D139" s="18" t="s">
        <v>30</v>
      </c>
      <c r="E139" s="18" t="s">
        <v>31</v>
      </c>
      <c r="F139" s="18" t="s">
        <v>20</v>
      </c>
      <c r="G139" s="18" t="s">
        <v>27</v>
      </c>
      <c r="H139" s="18">
        <v>9</v>
      </c>
      <c r="I139" s="18" t="s">
        <v>34</v>
      </c>
      <c r="J139" s="19">
        <v>15724</v>
      </c>
      <c r="K139" s="19">
        <f t="shared" si="16"/>
        <v>3144.8</v>
      </c>
      <c r="L139" s="19">
        <f>500</f>
        <v>500</v>
      </c>
      <c r="M139" s="19">
        <f>J139*0.12</f>
        <v>1886.8799999999999</v>
      </c>
      <c r="N139" s="19">
        <f t="shared" si="17"/>
        <v>21255.68</v>
      </c>
      <c r="O139" s="19">
        <f t="shared" si="18"/>
        <v>3188.3519999999999</v>
      </c>
      <c r="P139" s="19">
        <f t="shared" si="19"/>
        <v>18067.328000000001</v>
      </c>
    </row>
    <row r="140" spans="1:16" x14ac:dyDescent="0.25">
      <c r="A140" s="16">
        <v>139</v>
      </c>
      <c r="B140" s="16" t="s">
        <v>145</v>
      </c>
      <c r="C140" s="16" t="s">
        <v>24</v>
      </c>
      <c r="D140" s="16" t="s">
        <v>36</v>
      </c>
      <c r="E140" s="16" t="s">
        <v>120</v>
      </c>
      <c r="F140" s="16" t="s">
        <v>44</v>
      </c>
      <c r="G140" s="16" t="s">
        <v>27</v>
      </c>
      <c r="H140" s="16">
        <v>13</v>
      </c>
      <c r="I140" s="16" t="s">
        <v>28</v>
      </c>
      <c r="J140" s="17">
        <v>14110</v>
      </c>
      <c r="K140" s="17">
        <f t="shared" si="16"/>
        <v>2822</v>
      </c>
      <c r="L140" s="17">
        <f>500</f>
        <v>500</v>
      </c>
      <c r="M140" s="17">
        <f>J140*0</f>
        <v>0</v>
      </c>
      <c r="N140" s="17">
        <f t="shared" si="17"/>
        <v>17432</v>
      </c>
      <c r="O140" s="17">
        <f t="shared" si="18"/>
        <v>2614.7999999999997</v>
      </c>
      <c r="P140" s="17">
        <f t="shared" si="19"/>
        <v>14817.2</v>
      </c>
    </row>
    <row r="141" spans="1:16" x14ac:dyDescent="0.25">
      <c r="A141" s="18">
        <v>140</v>
      </c>
      <c r="B141" s="18" t="s">
        <v>144</v>
      </c>
      <c r="C141" s="18" t="s">
        <v>24</v>
      </c>
      <c r="D141" s="18" t="s">
        <v>18</v>
      </c>
      <c r="E141" s="18" t="s">
        <v>19</v>
      </c>
      <c r="F141" s="18" t="s">
        <v>32</v>
      </c>
      <c r="G141" s="18" t="s">
        <v>38</v>
      </c>
      <c r="H141" s="18">
        <v>7</v>
      </c>
      <c r="I141" s="18" t="s">
        <v>28</v>
      </c>
      <c r="J141" s="19">
        <v>20459</v>
      </c>
      <c r="K141" s="19">
        <f t="shared" si="16"/>
        <v>4091.8</v>
      </c>
      <c r="L141" s="19">
        <f>500</f>
        <v>500</v>
      </c>
      <c r="M141" s="19">
        <f>J141*0</f>
        <v>0</v>
      </c>
      <c r="N141" s="19">
        <f t="shared" si="17"/>
        <v>25050.799999999999</v>
      </c>
      <c r="O141" s="19">
        <f t="shared" si="18"/>
        <v>3757.62</v>
      </c>
      <c r="P141" s="19">
        <f t="shared" si="19"/>
        <v>21293.18</v>
      </c>
    </row>
    <row r="142" spans="1:16" x14ac:dyDescent="0.25">
      <c r="A142" s="16">
        <v>141</v>
      </c>
      <c r="B142" s="16" t="s">
        <v>128</v>
      </c>
      <c r="C142" s="16" t="s">
        <v>24</v>
      </c>
      <c r="D142" s="16" t="s">
        <v>36</v>
      </c>
      <c r="E142" s="16" t="s">
        <v>62</v>
      </c>
      <c r="F142" s="16" t="s">
        <v>20</v>
      </c>
      <c r="G142" s="16" t="s">
        <v>21</v>
      </c>
      <c r="H142" s="16">
        <v>4</v>
      </c>
      <c r="I142" s="16" t="s">
        <v>34</v>
      </c>
      <c r="J142" s="17">
        <v>21302</v>
      </c>
      <c r="K142" s="17">
        <f t="shared" si="16"/>
        <v>4260.4000000000005</v>
      </c>
      <c r="L142" s="17">
        <f>500</f>
        <v>500</v>
      </c>
      <c r="M142" s="17">
        <f>J142*0.12</f>
        <v>2556.2399999999998</v>
      </c>
      <c r="N142" s="17">
        <f t="shared" si="17"/>
        <v>28618.639999999999</v>
      </c>
      <c r="O142" s="17">
        <f t="shared" si="18"/>
        <v>4292.7959999999994</v>
      </c>
      <c r="P142" s="17">
        <f t="shared" si="19"/>
        <v>24325.844000000001</v>
      </c>
    </row>
    <row r="143" spans="1:16" x14ac:dyDescent="0.25">
      <c r="A143" s="18">
        <v>142</v>
      </c>
      <c r="B143" s="18" t="s">
        <v>97</v>
      </c>
      <c r="C143" s="18" t="s">
        <v>24</v>
      </c>
      <c r="D143" s="18" t="s">
        <v>30</v>
      </c>
      <c r="E143" s="18" t="s">
        <v>68</v>
      </c>
      <c r="F143" s="18" t="s">
        <v>20</v>
      </c>
      <c r="G143" s="18" t="s">
        <v>21</v>
      </c>
      <c r="H143" s="18">
        <v>2</v>
      </c>
      <c r="I143" s="18" t="s">
        <v>22</v>
      </c>
      <c r="J143" s="19">
        <v>20856</v>
      </c>
      <c r="K143" s="19">
        <f t="shared" si="16"/>
        <v>4171.2</v>
      </c>
      <c r="L143" s="19">
        <f>500</f>
        <v>500</v>
      </c>
      <c r="M143" s="19">
        <f>J143*0.2</f>
        <v>4171.2</v>
      </c>
      <c r="N143" s="19">
        <f t="shared" si="17"/>
        <v>29698.400000000001</v>
      </c>
      <c r="O143" s="19">
        <f t="shared" si="18"/>
        <v>4454.76</v>
      </c>
      <c r="P143" s="19">
        <f t="shared" si="19"/>
        <v>25243.64</v>
      </c>
    </row>
    <row r="144" spans="1:16" x14ac:dyDescent="0.25">
      <c r="A144" s="16">
        <v>143</v>
      </c>
      <c r="B144" s="16" t="s">
        <v>159</v>
      </c>
      <c r="C144" s="16" t="s">
        <v>17</v>
      </c>
      <c r="D144" s="16" t="s">
        <v>18</v>
      </c>
      <c r="E144" s="16" t="s">
        <v>19</v>
      </c>
      <c r="F144" s="16" t="s">
        <v>48</v>
      </c>
      <c r="G144" s="16" t="s">
        <v>21</v>
      </c>
      <c r="H144" s="16">
        <v>8</v>
      </c>
      <c r="I144" s="16" t="s">
        <v>34</v>
      </c>
      <c r="J144" s="17">
        <v>18750</v>
      </c>
      <c r="K144" s="17">
        <f t="shared" si="16"/>
        <v>3750</v>
      </c>
      <c r="L144" s="17">
        <f>500</f>
        <v>500</v>
      </c>
      <c r="M144" s="17">
        <f>J144*0.12</f>
        <v>2250</v>
      </c>
      <c r="N144" s="17">
        <f t="shared" si="17"/>
        <v>25250</v>
      </c>
      <c r="O144" s="17">
        <f t="shared" si="18"/>
        <v>3787.5</v>
      </c>
      <c r="P144" s="17">
        <f t="shared" si="19"/>
        <v>21462.5</v>
      </c>
    </row>
    <row r="145" spans="1:16" x14ac:dyDescent="0.25">
      <c r="A145" s="18">
        <v>144</v>
      </c>
      <c r="B145" s="18" t="s">
        <v>23</v>
      </c>
      <c r="C145" s="18" t="s">
        <v>24</v>
      </c>
      <c r="D145" s="18" t="s">
        <v>53</v>
      </c>
      <c r="E145" s="18" t="s">
        <v>60</v>
      </c>
      <c r="F145" s="18" t="s">
        <v>44</v>
      </c>
      <c r="G145" s="18" t="s">
        <v>33</v>
      </c>
      <c r="H145" s="18">
        <v>4</v>
      </c>
      <c r="I145" s="18" t="s">
        <v>34</v>
      </c>
      <c r="J145" s="19">
        <v>15975</v>
      </c>
      <c r="K145" s="19">
        <f t="shared" si="16"/>
        <v>3195</v>
      </c>
      <c r="L145" s="19">
        <f>500</f>
        <v>500</v>
      </c>
      <c r="M145" s="19">
        <f>J145*0.12</f>
        <v>1917</v>
      </c>
      <c r="N145" s="19">
        <f t="shared" si="17"/>
        <v>21587</v>
      </c>
      <c r="O145" s="19">
        <f t="shared" si="18"/>
        <v>3238.0499999999997</v>
      </c>
      <c r="P145" s="19">
        <f t="shared" si="19"/>
        <v>18348.95</v>
      </c>
    </row>
    <row r="146" spans="1:16" x14ac:dyDescent="0.25">
      <c r="A146" s="16">
        <v>145</v>
      </c>
      <c r="B146" s="16" t="s">
        <v>133</v>
      </c>
      <c r="C146" s="16" t="s">
        <v>24</v>
      </c>
      <c r="D146" s="16" t="s">
        <v>46</v>
      </c>
      <c r="E146" s="16" t="s">
        <v>56</v>
      </c>
      <c r="F146" s="16" t="s">
        <v>44</v>
      </c>
      <c r="G146" s="16" t="s">
        <v>21</v>
      </c>
      <c r="H146" s="16">
        <v>12</v>
      </c>
      <c r="I146" s="16" t="s">
        <v>49</v>
      </c>
      <c r="J146" s="17">
        <v>21065</v>
      </c>
      <c r="K146" s="17">
        <f t="shared" si="16"/>
        <v>4213</v>
      </c>
      <c r="L146" s="17">
        <f>500</f>
        <v>500</v>
      </c>
      <c r="M146" s="17">
        <f>J146*0.06</f>
        <v>1263.8999999999999</v>
      </c>
      <c r="N146" s="17">
        <f t="shared" si="17"/>
        <v>27041.9</v>
      </c>
      <c r="O146" s="17">
        <f t="shared" si="18"/>
        <v>4056.2849999999999</v>
      </c>
      <c r="P146" s="17">
        <f t="shared" si="19"/>
        <v>22985.615000000002</v>
      </c>
    </row>
    <row r="147" spans="1:16" x14ac:dyDescent="0.25">
      <c r="A147" s="18">
        <v>146</v>
      </c>
      <c r="B147" s="18" t="s">
        <v>160</v>
      </c>
      <c r="C147" s="18" t="s">
        <v>24</v>
      </c>
      <c r="D147" s="18" t="s">
        <v>53</v>
      </c>
      <c r="E147" s="18" t="s">
        <v>60</v>
      </c>
      <c r="F147" s="18" t="s">
        <v>32</v>
      </c>
      <c r="G147" s="18" t="s">
        <v>33</v>
      </c>
      <c r="H147" s="18">
        <v>10</v>
      </c>
      <c r="I147" s="18" t="s">
        <v>22</v>
      </c>
      <c r="J147" s="19">
        <v>21067</v>
      </c>
      <c r="K147" s="19">
        <f t="shared" si="16"/>
        <v>4213.4000000000005</v>
      </c>
      <c r="L147" s="19">
        <f>500</f>
        <v>500</v>
      </c>
      <c r="M147" s="19">
        <f>J147*0.2</f>
        <v>4213.4000000000005</v>
      </c>
      <c r="N147" s="19">
        <f t="shared" si="17"/>
        <v>29993.800000000003</v>
      </c>
      <c r="O147" s="19">
        <f t="shared" si="18"/>
        <v>4499.0700000000006</v>
      </c>
      <c r="P147" s="19">
        <f t="shared" si="19"/>
        <v>25494.730000000003</v>
      </c>
    </row>
    <row r="148" spans="1:16" x14ac:dyDescent="0.25">
      <c r="A148" s="16">
        <v>147</v>
      </c>
      <c r="B148" s="16" t="s">
        <v>161</v>
      </c>
      <c r="C148" s="16" t="s">
        <v>24</v>
      </c>
      <c r="D148" s="16" t="s">
        <v>53</v>
      </c>
      <c r="E148" s="16" t="s">
        <v>74</v>
      </c>
      <c r="F148" s="16" t="s">
        <v>44</v>
      </c>
      <c r="G148" s="16" t="s">
        <v>33</v>
      </c>
      <c r="H148" s="16">
        <v>2</v>
      </c>
      <c r="I148" s="16" t="s">
        <v>34</v>
      </c>
      <c r="J148" s="17">
        <v>7291</v>
      </c>
      <c r="K148" s="17">
        <f t="shared" si="16"/>
        <v>1458.2</v>
      </c>
      <c r="L148" s="17">
        <f>500</f>
        <v>500</v>
      </c>
      <c r="M148" s="17">
        <f>J148*0.12</f>
        <v>874.92</v>
      </c>
      <c r="N148" s="17">
        <f t="shared" si="17"/>
        <v>10124.120000000001</v>
      </c>
      <c r="O148" s="17">
        <f t="shared" si="18"/>
        <v>1518.6180000000002</v>
      </c>
      <c r="P148" s="17">
        <f t="shared" si="19"/>
        <v>8605.5020000000004</v>
      </c>
    </row>
    <row r="149" spans="1:16" x14ac:dyDescent="0.25">
      <c r="A149" s="18">
        <v>148</v>
      </c>
      <c r="B149" s="18" t="s">
        <v>162</v>
      </c>
      <c r="C149" s="18" t="s">
        <v>24</v>
      </c>
      <c r="D149" s="18" t="s">
        <v>36</v>
      </c>
      <c r="E149" s="18" t="s">
        <v>120</v>
      </c>
      <c r="F149" s="18" t="s">
        <v>20</v>
      </c>
      <c r="G149" s="18" t="s">
        <v>27</v>
      </c>
      <c r="H149" s="18">
        <v>10</v>
      </c>
      <c r="I149" s="18" t="s">
        <v>22</v>
      </c>
      <c r="J149" s="19">
        <v>11894</v>
      </c>
      <c r="K149" s="19">
        <f t="shared" si="16"/>
        <v>2378.8000000000002</v>
      </c>
      <c r="L149" s="19">
        <f>500</f>
        <v>500</v>
      </c>
      <c r="M149" s="19">
        <f>J149*0.2</f>
        <v>2378.8000000000002</v>
      </c>
      <c r="N149" s="19">
        <f t="shared" si="17"/>
        <v>17151.599999999999</v>
      </c>
      <c r="O149" s="19">
        <f t="shared" si="18"/>
        <v>2572.7399999999998</v>
      </c>
      <c r="P149" s="19">
        <f t="shared" si="19"/>
        <v>14578.859999999999</v>
      </c>
    </row>
    <row r="150" spans="1:16" x14ac:dyDescent="0.25">
      <c r="A150" s="16">
        <v>149</v>
      </c>
      <c r="B150" s="16" t="s">
        <v>104</v>
      </c>
      <c r="C150" s="16" t="s">
        <v>17</v>
      </c>
      <c r="D150" s="16" t="s">
        <v>18</v>
      </c>
      <c r="E150" s="16" t="s">
        <v>19</v>
      </c>
      <c r="F150" s="16" t="s">
        <v>48</v>
      </c>
      <c r="G150" s="16" t="s">
        <v>38</v>
      </c>
      <c r="H150" s="16">
        <v>17</v>
      </c>
      <c r="I150" s="16" t="s">
        <v>49</v>
      </c>
      <c r="J150" s="17">
        <v>23794</v>
      </c>
      <c r="K150" s="17">
        <f t="shared" si="16"/>
        <v>4758.8</v>
      </c>
      <c r="L150" s="17">
        <f>500</f>
        <v>500</v>
      </c>
      <c r="M150" s="17">
        <f>J150*0.06</f>
        <v>1427.6399999999999</v>
      </c>
      <c r="N150" s="17">
        <f t="shared" si="17"/>
        <v>30480.44</v>
      </c>
      <c r="O150" s="17">
        <f t="shared" si="18"/>
        <v>4572.0659999999998</v>
      </c>
      <c r="P150" s="17">
        <f t="shared" si="19"/>
        <v>25908.374</v>
      </c>
    </row>
    <row r="151" spans="1:16" x14ac:dyDescent="0.25">
      <c r="A151" s="18">
        <v>150</v>
      </c>
      <c r="B151" s="18" t="s">
        <v>163</v>
      </c>
      <c r="C151" s="18" t="s">
        <v>24</v>
      </c>
      <c r="D151" s="18" t="s">
        <v>18</v>
      </c>
      <c r="E151" s="18" t="s">
        <v>19</v>
      </c>
      <c r="F151" s="18" t="s">
        <v>48</v>
      </c>
      <c r="G151" s="18" t="s">
        <v>27</v>
      </c>
      <c r="H151" s="18">
        <v>4</v>
      </c>
      <c r="I151" s="18" t="s">
        <v>22</v>
      </c>
      <c r="J151" s="19">
        <v>18774</v>
      </c>
      <c r="K151" s="19">
        <f t="shared" si="16"/>
        <v>3754.8</v>
      </c>
      <c r="L151" s="19">
        <f>500</f>
        <v>500</v>
      </c>
      <c r="M151" s="19">
        <f>J151*0.2</f>
        <v>3754.8</v>
      </c>
      <c r="N151" s="19">
        <f t="shared" si="17"/>
        <v>26783.599999999999</v>
      </c>
      <c r="O151" s="19">
        <f t="shared" si="18"/>
        <v>4017.5399999999995</v>
      </c>
      <c r="P151" s="19">
        <f t="shared" si="19"/>
        <v>22766.059999999998</v>
      </c>
    </row>
    <row r="152" spans="1:16" x14ac:dyDescent="0.25">
      <c r="A152" s="16">
        <v>151</v>
      </c>
      <c r="B152" s="16" t="s">
        <v>160</v>
      </c>
      <c r="C152" s="16" t="s">
        <v>24</v>
      </c>
      <c r="D152" s="16" t="s">
        <v>30</v>
      </c>
      <c r="E152" s="16" t="s">
        <v>66</v>
      </c>
      <c r="F152" s="16" t="s">
        <v>48</v>
      </c>
      <c r="G152" s="16" t="s">
        <v>21</v>
      </c>
      <c r="H152" s="16">
        <v>14</v>
      </c>
      <c r="I152" s="16" t="s">
        <v>22</v>
      </c>
      <c r="J152" s="17">
        <v>9533</v>
      </c>
      <c r="K152" s="17">
        <f t="shared" si="16"/>
        <v>1906.6000000000001</v>
      </c>
      <c r="L152" s="17">
        <f>500</f>
        <v>500</v>
      </c>
      <c r="M152" s="17">
        <f>J152*0.2</f>
        <v>1906.6000000000001</v>
      </c>
      <c r="N152" s="17">
        <f t="shared" si="17"/>
        <v>13846.2</v>
      </c>
      <c r="O152" s="17">
        <f t="shared" si="18"/>
        <v>2076.9299999999998</v>
      </c>
      <c r="P152" s="17">
        <f t="shared" si="19"/>
        <v>11769.27</v>
      </c>
    </row>
    <row r="153" spans="1:16" x14ac:dyDescent="0.25">
      <c r="A153" s="18">
        <v>152</v>
      </c>
      <c r="B153" s="18" t="s">
        <v>111</v>
      </c>
      <c r="C153" s="18" t="s">
        <v>17</v>
      </c>
      <c r="D153" s="18" t="s">
        <v>40</v>
      </c>
      <c r="E153" s="18" t="s">
        <v>41</v>
      </c>
      <c r="F153" s="18" t="s">
        <v>58</v>
      </c>
      <c r="G153" s="18" t="s">
        <v>33</v>
      </c>
      <c r="H153" s="18">
        <v>8</v>
      </c>
      <c r="I153" s="18" t="s">
        <v>28</v>
      </c>
      <c r="J153" s="19">
        <v>23777</v>
      </c>
      <c r="K153" s="19">
        <f t="shared" si="16"/>
        <v>4755.4000000000005</v>
      </c>
      <c r="L153" s="19">
        <f>500</f>
        <v>500</v>
      </c>
      <c r="M153" s="19">
        <f>J153*0</f>
        <v>0</v>
      </c>
      <c r="N153" s="19">
        <f t="shared" si="17"/>
        <v>29032.400000000001</v>
      </c>
      <c r="O153" s="19">
        <f t="shared" si="18"/>
        <v>4354.8599999999997</v>
      </c>
      <c r="P153" s="19">
        <f t="shared" si="19"/>
        <v>24677.54</v>
      </c>
    </row>
    <row r="154" spans="1:16" x14ac:dyDescent="0.25">
      <c r="A154" s="16">
        <v>153</v>
      </c>
      <c r="B154" s="16" t="s">
        <v>67</v>
      </c>
      <c r="C154" s="16" t="s">
        <v>24</v>
      </c>
      <c r="D154" s="16" t="s">
        <v>46</v>
      </c>
      <c r="E154" s="16" t="s">
        <v>47</v>
      </c>
      <c r="F154" s="16" t="s">
        <v>58</v>
      </c>
      <c r="G154" s="16" t="s">
        <v>33</v>
      </c>
      <c r="H154" s="16">
        <v>18</v>
      </c>
      <c r="I154" s="16" t="s">
        <v>49</v>
      </c>
      <c r="J154" s="17">
        <v>23070</v>
      </c>
      <c r="K154" s="17">
        <f t="shared" si="16"/>
        <v>4614</v>
      </c>
      <c r="L154" s="17">
        <f>500</f>
        <v>500</v>
      </c>
      <c r="M154" s="17">
        <f>J154*0.06</f>
        <v>1384.2</v>
      </c>
      <c r="N154" s="17">
        <f t="shared" si="17"/>
        <v>29568.2</v>
      </c>
      <c r="O154" s="17">
        <f t="shared" si="18"/>
        <v>4435.2299999999996</v>
      </c>
      <c r="P154" s="17">
        <f t="shared" si="19"/>
        <v>25132.97</v>
      </c>
    </row>
    <row r="155" spans="1:16" x14ac:dyDescent="0.25">
      <c r="A155" s="18">
        <v>154</v>
      </c>
      <c r="B155" s="18" t="s">
        <v>164</v>
      </c>
      <c r="C155" s="18" t="s">
        <v>17</v>
      </c>
      <c r="D155" s="18" t="s">
        <v>36</v>
      </c>
      <c r="E155" s="18" t="s">
        <v>62</v>
      </c>
      <c r="F155" s="18" t="s">
        <v>44</v>
      </c>
      <c r="G155" s="18" t="s">
        <v>33</v>
      </c>
      <c r="H155" s="18">
        <v>8</v>
      </c>
      <c r="I155" s="18" t="s">
        <v>34</v>
      </c>
      <c r="J155" s="19">
        <v>22431</v>
      </c>
      <c r="K155" s="19">
        <f t="shared" si="16"/>
        <v>4486.2</v>
      </c>
      <c r="L155" s="19">
        <f>500</f>
        <v>500</v>
      </c>
      <c r="M155" s="19">
        <f>J155*0.12</f>
        <v>2691.72</v>
      </c>
      <c r="N155" s="19">
        <f t="shared" si="17"/>
        <v>30108.920000000002</v>
      </c>
      <c r="O155" s="19">
        <f t="shared" si="18"/>
        <v>4516.3379999999997</v>
      </c>
      <c r="P155" s="19">
        <f t="shared" si="19"/>
        <v>25592.582000000002</v>
      </c>
    </row>
    <row r="156" spans="1:16" x14ac:dyDescent="0.25">
      <c r="A156" s="16">
        <v>155</v>
      </c>
      <c r="B156" s="16" t="s">
        <v>165</v>
      </c>
      <c r="C156" s="16" t="s">
        <v>24</v>
      </c>
      <c r="D156" s="16" t="s">
        <v>18</v>
      </c>
      <c r="E156" s="16" t="s">
        <v>85</v>
      </c>
      <c r="F156" s="16" t="s">
        <v>32</v>
      </c>
      <c r="G156" s="16" t="s">
        <v>38</v>
      </c>
      <c r="H156" s="16">
        <v>6</v>
      </c>
      <c r="I156" s="16" t="s">
        <v>34</v>
      </c>
      <c r="J156" s="17">
        <v>9899</v>
      </c>
      <c r="K156" s="17">
        <f t="shared" si="16"/>
        <v>1979.8000000000002</v>
      </c>
      <c r="L156" s="17">
        <f>500</f>
        <v>500</v>
      </c>
      <c r="M156" s="17">
        <f>J156*0.12</f>
        <v>1187.8799999999999</v>
      </c>
      <c r="N156" s="17">
        <f t="shared" si="17"/>
        <v>13566.679999999998</v>
      </c>
      <c r="O156" s="17">
        <f t="shared" si="18"/>
        <v>2035.0019999999997</v>
      </c>
      <c r="P156" s="17">
        <f t="shared" si="19"/>
        <v>11531.677999999998</v>
      </c>
    </row>
    <row r="157" spans="1:16" x14ac:dyDescent="0.25">
      <c r="A157" s="18">
        <v>156</v>
      </c>
      <c r="B157" s="18" t="s">
        <v>115</v>
      </c>
      <c r="C157" s="18" t="s">
        <v>24</v>
      </c>
      <c r="D157" s="18" t="s">
        <v>36</v>
      </c>
      <c r="E157" s="18" t="s">
        <v>37</v>
      </c>
      <c r="F157" s="18" t="s">
        <v>20</v>
      </c>
      <c r="G157" s="18" t="s">
        <v>27</v>
      </c>
      <c r="H157" s="18">
        <v>13</v>
      </c>
      <c r="I157" s="18" t="s">
        <v>34</v>
      </c>
      <c r="J157" s="19">
        <v>12995</v>
      </c>
      <c r="K157" s="19">
        <f t="shared" si="16"/>
        <v>2599</v>
      </c>
      <c r="L157" s="19">
        <f>500</f>
        <v>500</v>
      </c>
      <c r="M157" s="19">
        <f>J157*0.12</f>
        <v>1559.3999999999999</v>
      </c>
      <c r="N157" s="19">
        <f t="shared" si="17"/>
        <v>17653.400000000001</v>
      </c>
      <c r="O157" s="19">
        <f t="shared" si="18"/>
        <v>2648.01</v>
      </c>
      <c r="P157" s="19">
        <f t="shared" si="19"/>
        <v>15005.390000000001</v>
      </c>
    </row>
    <row r="158" spans="1:16" x14ac:dyDescent="0.25">
      <c r="A158" s="16">
        <v>157</v>
      </c>
      <c r="B158" s="16" t="s">
        <v>111</v>
      </c>
      <c r="C158" s="16" t="s">
        <v>17</v>
      </c>
      <c r="D158" s="16" t="s">
        <v>46</v>
      </c>
      <c r="E158" s="16" t="s">
        <v>83</v>
      </c>
      <c r="F158" s="16" t="s">
        <v>20</v>
      </c>
      <c r="G158" s="16" t="s">
        <v>21</v>
      </c>
      <c r="H158" s="16">
        <v>9</v>
      </c>
      <c r="I158" s="16" t="s">
        <v>34</v>
      </c>
      <c r="J158" s="17">
        <v>29109</v>
      </c>
      <c r="K158" s="17">
        <f t="shared" si="16"/>
        <v>5821.8</v>
      </c>
      <c r="L158" s="17">
        <f>500</f>
        <v>500</v>
      </c>
      <c r="M158" s="17">
        <f>J158*0.12</f>
        <v>3493.08</v>
      </c>
      <c r="N158" s="17">
        <f t="shared" si="17"/>
        <v>38923.880000000005</v>
      </c>
      <c r="O158" s="17">
        <f t="shared" si="18"/>
        <v>5838.5820000000003</v>
      </c>
      <c r="P158" s="17">
        <f t="shared" si="19"/>
        <v>33085.298000000003</v>
      </c>
    </row>
    <row r="159" spans="1:16" x14ac:dyDescent="0.25">
      <c r="A159" s="18">
        <v>158</v>
      </c>
      <c r="B159" s="18" t="s">
        <v>75</v>
      </c>
      <c r="C159" s="18" t="s">
        <v>17</v>
      </c>
      <c r="D159" s="18" t="s">
        <v>25</v>
      </c>
      <c r="E159" s="18" t="s">
        <v>26</v>
      </c>
      <c r="F159" s="18" t="s">
        <v>58</v>
      </c>
      <c r="G159" s="18" t="s">
        <v>38</v>
      </c>
      <c r="H159" s="18">
        <v>15</v>
      </c>
      <c r="I159" s="18" t="s">
        <v>22</v>
      </c>
      <c r="J159" s="19">
        <v>12161</v>
      </c>
      <c r="K159" s="19">
        <f t="shared" si="16"/>
        <v>2432.2000000000003</v>
      </c>
      <c r="L159" s="19">
        <f>500</f>
        <v>500</v>
      </c>
      <c r="M159" s="19">
        <f>J159*0.2</f>
        <v>2432.2000000000003</v>
      </c>
      <c r="N159" s="19">
        <f t="shared" si="17"/>
        <v>17525.400000000001</v>
      </c>
      <c r="O159" s="19">
        <f t="shared" si="18"/>
        <v>2628.81</v>
      </c>
      <c r="P159" s="19">
        <f t="shared" si="19"/>
        <v>14896.590000000002</v>
      </c>
    </row>
    <row r="160" spans="1:16" x14ac:dyDescent="0.25">
      <c r="A160" s="16">
        <v>159</v>
      </c>
      <c r="B160" s="16" t="s">
        <v>166</v>
      </c>
      <c r="C160" s="16" t="s">
        <v>17</v>
      </c>
      <c r="D160" s="16" t="s">
        <v>53</v>
      </c>
      <c r="E160" s="16" t="s">
        <v>54</v>
      </c>
      <c r="F160" s="16" t="s">
        <v>32</v>
      </c>
      <c r="G160" s="16" t="s">
        <v>33</v>
      </c>
      <c r="H160" s="16">
        <v>8</v>
      </c>
      <c r="I160" s="16" t="s">
        <v>34</v>
      </c>
      <c r="J160" s="17">
        <v>13652</v>
      </c>
      <c r="K160" s="17">
        <f t="shared" si="16"/>
        <v>2730.4</v>
      </c>
      <c r="L160" s="17">
        <f>500</f>
        <v>500</v>
      </c>
      <c r="M160" s="17">
        <f>J160*0.12</f>
        <v>1638.24</v>
      </c>
      <c r="N160" s="17">
        <f t="shared" si="17"/>
        <v>18520.640000000003</v>
      </c>
      <c r="O160" s="17">
        <f t="shared" si="18"/>
        <v>2778.0960000000005</v>
      </c>
      <c r="P160" s="17">
        <f t="shared" si="19"/>
        <v>15742.544000000002</v>
      </c>
    </row>
    <row r="161" spans="1:16" x14ac:dyDescent="0.25">
      <c r="A161" s="18">
        <v>160</v>
      </c>
      <c r="B161" s="18" t="s">
        <v>167</v>
      </c>
      <c r="C161" s="18" t="s">
        <v>24</v>
      </c>
      <c r="D161" s="18" t="s">
        <v>46</v>
      </c>
      <c r="E161" s="18" t="s">
        <v>56</v>
      </c>
      <c r="F161" s="18" t="s">
        <v>20</v>
      </c>
      <c r="G161" s="18" t="s">
        <v>33</v>
      </c>
      <c r="H161" s="18">
        <v>8</v>
      </c>
      <c r="I161" s="18" t="s">
        <v>28</v>
      </c>
      <c r="J161" s="19">
        <v>18762</v>
      </c>
      <c r="K161" s="19">
        <f t="shared" si="16"/>
        <v>3752.4</v>
      </c>
      <c r="L161" s="19">
        <f>500</f>
        <v>500</v>
      </c>
      <c r="M161" s="19">
        <f>J161*0</f>
        <v>0</v>
      </c>
      <c r="N161" s="19">
        <f t="shared" si="17"/>
        <v>23014.400000000001</v>
      </c>
      <c r="O161" s="19">
        <f t="shared" si="18"/>
        <v>3452.1600000000003</v>
      </c>
      <c r="P161" s="19">
        <f t="shared" si="19"/>
        <v>19562.240000000002</v>
      </c>
    </row>
    <row r="162" spans="1:16" x14ac:dyDescent="0.25">
      <c r="A162" s="16">
        <v>161</v>
      </c>
      <c r="B162" s="16" t="s">
        <v>35</v>
      </c>
      <c r="C162" s="16" t="s">
        <v>24</v>
      </c>
      <c r="D162" s="16" t="s">
        <v>25</v>
      </c>
      <c r="E162" s="16" t="s">
        <v>26</v>
      </c>
      <c r="F162" s="16" t="s">
        <v>20</v>
      </c>
      <c r="G162" s="16" t="s">
        <v>33</v>
      </c>
      <c r="H162" s="16">
        <v>17</v>
      </c>
      <c r="I162" s="16" t="s">
        <v>34</v>
      </c>
      <c r="J162" s="17">
        <v>15057</v>
      </c>
      <c r="K162" s="17">
        <f t="shared" ref="K162:K193" si="20">J162*0.2</f>
        <v>3011.4</v>
      </c>
      <c r="L162" s="17">
        <f>500</f>
        <v>500</v>
      </c>
      <c r="M162" s="17">
        <f>J162*0.12</f>
        <v>1806.84</v>
      </c>
      <c r="N162" s="17">
        <f t="shared" ref="N162:N193" si="21">J162+K162+L162+M162</f>
        <v>20375.240000000002</v>
      </c>
      <c r="O162" s="17">
        <f t="shared" ref="O162:O193" si="22">IF(N162&gt;10000,N162*0.15,N162*0.1)</f>
        <v>3056.2860000000001</v>
      </c>
      <c r="P162" s="17">
        <f t="shared" ref="P162:P193" si="23">N162-O162</f>
        <v>17318.954000000002</v>
      </c>
    </row>
    <row r="163" spans="1:16" x14ac:dyDescent="0.25">
      <c r="A163" s="18">
        <v>162</v>
      </c>
      <c r="B163" s="18" t="s">
        <v>168</v>
      </c>
      <c r="C163" s="18" t="s">
        <v>17</v>
      </c>
      <c r="D163" s="18" t="s">
        <v>53</v>
      </c>
      <c r="E163" s="18" t="s">
        <v>54</v>
      </c>
      <c r="F163" s="18" t="s">
        <v>20</v>
      </c>
      <c r="G163" s="18" t="s">
        <v>21</v>
      </c>
      <c r="H163" s="18">
        <v>9</v>
      </c>
      <c r="I163" s="18" t="s">
        <v>34</v>
      </c>
      <c r="J163" s="19">
        <v>12204</v>
      </c>
      <c r="K163" s="19">
        <f t="shared" si="20"/>
        <v>2440.8000000000002</v>
      </c>
      <c r="L163" s="19">
        <f>500</f>
        <v>500</v>
      </c>
      <c r="M163" s="19">
        <f>J163*0.12</f>
        <v>1464.48</v>
      </c>
      <c r="N163" s="19">
        <f t="shared" si="21"/>
        <v>16609.28</v>
      </c>
      <c r="O163" s="19">
        <f t="shared" si="22"/>
        <v>2491.3919999999998</v>
      </c>
      <c r="P163" s="19">
        <f t="shared" si="23"/>
        <v>14117.887999999999</v>
      </c>
    </row>
    <row r="164" spans="1:16" x14ac:dyDescent="0.25">
      <c r="A164" s="16">
        <v>163</v>
      </c>
      <c r="B164" s="16" t="s">
        <v>169</v>
      </c>
      <c r="C164" s="16" t="s">
        <v>24</v>
      </c>
      <c r="D164" s="16" t="s">
        <v>30</v>
      </c>
      <c r="E164" s="16" t="s">
        <v>31</v>
      </c>
      <c r="F164" s="16" t="s">
        <v>48</v>
      </c>
      <c r="G164" s="16" t="s">
        <v>27</v>
      </c>
      <c r="H164" s="16">
        <v>16</v>
      </c>
      <c r="I164" s="16" t="s">
        <v>22</v>
      </c>
      <c r="J164" s="17">
        <v>16787</v>
      </c>
      <c r="K164" s="17">
        <f t="shared" si="20"/>
        <v>3357.4</v>
      </c>
      <c r="L164" s="17">
        <f>500</f>
        <v>500</v>
      </c>
      <c r="M164" s="17">
        <f>J164*0.2</f>
        <v>3357.4</v>
      </c>
      <c r="N164" s="17">
        <f t="shared" si="21"/>
        <v>24001.800000000003</v>
      </c>
      <c r="O164" s="17">
        <f t="shared" si="22"/>
        <v>3600.2700000000004</v>
      </c>
      <c r="P164" s="17">
        <f t="shared" si="23"/>
        <v>20401.530000000002</v>
      </c>
    </row>
    <row r="165" spans="1:16" x14ac:dyDescent="0.25">
      <c r="A165" s="18">
        <v>164</v>
      </c>
      <c r="B165" s="18" t="s">
        <v>103</v>
      </c>
      <c r="C165" s="18" t="s">
        <v>17</v>
      </c>
      <c r="D165" s="18" t="s">
        <v>25</v>
      </c>
      <c r="E165" s="18" t="s">
        <v>71</v>
      </c>
      <c r="F165" s="18" t="s">
        <v>48</v>
      </c>
      <c r="G165" s="18" t="s">
        <v>27</v>
      </c>
      <c r="H165" s="18">
        <v>6</v>
      </c>
      <c r="I165" s="18" t="s">
        <v>28</v>
      </c>
      <c r="J165" s="19">
        <v>14974</v>
      </c>
      <c r="K165" s="19">
        <f t="shared" si="20"/>
        <v>2994.8</v>
      </c>
      <c r="L165" s="19">
        <f>500</f>
        <v>500</v>
      </c>
      <c r="M165" s="19">
        <f>J165*0</f>
        <v>0</v>
      </c>
      <c r="N165" s="19">
        <f t="shared" si="21"/>
        <v>18468.8</v>
      </c>
      <c r="O165" s="19">
        <f t="shared" si="22"/>
        <v>2770.3199999999997</v>
      </c>
      <c r="P165" s="19">
        <f t="shared" si="23"/>
        <v>15698.48</v>
      </c>
    </row>
    <row r="166" spans="1:16" x14ac:dyDescent="0.25">
      <c r="A166" s="16">
        <v>165</v>
      </c>
      <c r="B166" s="16" t="s">
        <v>170</v>
      </c>
      <c r="C166" s="16" t="s">
        <v>24</v>
      </c>
      <c r="D166" s="16" t="s">
        <v>18</v>
      </c>
      <c r="E166" s="16" t="s">
        <v>19</v>
      </c>
      <c r="F166" s="16" t="s">
        <v>44</v>
      </c>
      <c r="G166" s="16" t="s">
        <v>38</v>
      </c>
      <c r="H166" s="16">
        <v>13</v>
      </c>
      <c r="I166" s="16" t="s">
        <v>28</v>
      </c>
      <c r="J166" s="17">
        <v>19607</v>
      </c>
      <c r="K166" s="17">
        <f t="shared" si="20"/>
        <v>3921.4</v>
      </c>
      <c r="L166" s="17">
        <f>500</f>
        <v>500</v>
      </c>
      <c r="M166" s="17">
        <f>J166*0</f>
        <v>0</v>
      </c>
      <c r="N166" s="17">
        <f t="shared" si="21"/>
        <v>24028.400000000001</v>
      </c>
      <c r="O166" s="17">
        <f t="shared" si="22"/>
        <v>3604.26</v>
      </c>
      <c r="P166" s="17">
        <f t="shared" si="23"/>
        <v>20424.14</v>
      </c>
    </row>
    <row r="167" spans="1:16" x14ac:dyDescent="0.25">
      <c r="A167" s="18">
        <v>166</v>
      </c>
      <c r="B167" s="18" t="s">
        <v>157</v>
      </c>
      <c r="C167" s="18" t="s">
        <v>24</v>
      </c>
      <c r="D167" s="18" t="s">
        <v>18</v>
      </c>
      <c r="E167" s="18" t="s">
        <v>98</v>
      </c>
      <c r="F167" s="18" t="s">
        <v>44</v>
      </c>
      <c r="G167" s="18" t="s">
        <v>38</v>
      </c>
      <c r="H167" s="18">
        <v>4</v>
      </c>
      <c r="I167" s="18" t="s">
        <v>34</v>
      </c>
      <c r="J167" s="19">
        <v>11066</v>
      </c>
      <c r="K167" s="19">
        <f t="shared" si="20"/>
        <v>2213.2000000000003</v>
      </c>
      <c r="L167" s="19">
        <f>500</f>
        <v>500</v>
      </c>
      <c r="M167" s="19">
        <f>J167*0.12</f>
        <v>1327.9199999999998</v>
      </c>
      <c r="N167" s="19">
        <f t="shared" si="21"/>
        <v>15107.12</v>
      </c>
      <c r="O167" s="19">
        <f t="shared" si="22"/>
        <v>2266.0680000000002</v>
      </c>
      <c r="P167" s="19">
        <f t="shared" si="23"/>
        <v>12841.052</v>
      </c>
    </row>
    <row r="168" spans="1:16" x14ac:dyDescent="0.25">
      <c r="A168" s="16">
        <v>167</v>
      </c>
      <c r="B168" s="16" t="s">
        <v>171</v>
      </c>
      <c r="C168" s="16" t="s">
        <v>17</v>
      </c>
      <c r="D168" s="16" t="s">
        <v>53</v>
      </c>
      <c r="E168" s="16" t="s">
        <v>54</v>
      </c>
      <c r="F168" s="16" t="s">
        <v>48</v>
      </c>
      <c r="G168" s="16" t="s">
        <v>27</v>
      </c>
      <c r="H168" s="16">
        <v>6</v>
      </c>
      <c r="I168" s="16" t="s">
        <v>34</v>
      </c>
      <c r="J168" s="17">
        <v>13951</v>
      </c>
      <c r="K168" s="17">
        <f t="shared" si="20"/>
        <v>2790.2000000000003</v>
      </c>
      <c r="L168" s="17">
        <f>500</f>
        <v>500</v>
      </c>
      <c r="M168" s="17">
        <f>J168*0.12</f>
        <v>1674.12</v>
      </c>
      <c r="N168" s="17">
        <f t="shared" si="21"/>
        <v>18915.32</v>
      </c>
      <c r="O168" s="17">
        <f t="shared" si="22"/>
        <v>2837.2979999999998</v>
      </c>
      <c r="P168" s="17">
        <f t="shared" si="23"/>
        <v>16078.022000000001</v>
      </c>
    </row>
    <row r="169" spans="1:16" x14ac:dyDescent="0.25">
      <c r="A169" s="18">
        <v>168</v>
      </c>
      <c r="B169" s="18" t="s">
        <v>172</v>
      </c>
      <c r="C169" s="18" t="s">
        <v>24</v>
      </c>
      <c r="D169" s="18" t="s">
        <v>18</v>
      </c>
      <c r="E169" s="18" t="s">
        <v>98</v>
      </c>
      <c r="F169" s="18" t="s">
        <v>58</v>
      </c>
      <c r="G169" s="18" t="s">
        <v>27</v>
      </c>
      <c r="H169" s="18">
        <v>12</v>
      </c>
      <c r="I169" s="18" t="s">
        <v>28</v>
      </c>
      <c r="J169" s="19">
        <v>13242</v>
      </c>
      <c r="K169" s="19">
        <f t="shared" si="20"/>
        <v>2648.4</v>
      </c>
      <c r="L169" s="19">
        <f>500</f>
        <v>500</v>
      </c>
      <c r="M169" s="19">
        <f>J169*0</f>
        <v>0</v>
      </c>
      <c r="N169" s="19">
        <f t="shared" si="21"/>
        <v>16390.400000000001</v>
      </c>
      <c r="O169" s="19">
        <f t="shared" si="22"/>
        <v>2458.56</v>
      </c>
      <c r="P169" s="19">
        <f t="shared" si="23"/>
        <v>13931.840000000002</v>
      </c>
    </row>
    <row r="170" spans="1:16" x14ac:dyDescent="0.25">
      <c r="A170" s="16">
        <v>169</v>
      </c>
      <c r="B170" s="16" t="s">
        <v>173</v>
      </c>
      <c r="C170" s="16" t="s">
        <v>17</v>
      </c>
      <c r="D170" s="16" t="s">
        <v>53</v>
      </c>
      <c r="E170" s="16" t="s">
        <v>54</v>
      </c>
      <c r="F170" s="16" t="s">
        <v>44</v>
      </c>
      <c r="G170" s="16" t="s">
        <v>27</v>
      </c>
      <c r="H170" s="16">
        <v>9</v>
      </c>
      <c r="I170" s="16" t="s">
        <v>28</v>
      </c>
      <c r="J170" s="17">
        <v>13913</v>
      </c>
      <c r="K170" s="17">
        <f t="shared" si="20"/>
        <v>2782.6000000000004</v>
      </c>
      <c r="L170" s="17">
        <f>500</f>
        <v>500</v>
      </c>
      <c r="M170" s="17">
        <f>J170*0</f>
        <v>0</v>
      </c>
      <c r="N170" s="17">
        <f t="shared" si="21"/>
        <v>17195.599999999999</v>
      </c>
      <c r="O170" s="17">
        <f t="shared" si="22"/>
        <v>2579.3399999999997</v>
      </c>
      <c r="P170" s="17">
        <f t="shared" si="23"/>
        <v>14616.259999999998</v>
      </c>
    </row>
    <row r="171" spans="1:16" x14ac:dyDescent="0.25">
      <c r="A171" s="18">
        <v>170</v>
      </c>
      <c r="B171" s="18" t="s">
        <v>174</v>
      </c>
      <c r="C171" s="18" t="s">
        <v>17</v>
      </c>
      <c r="D171" s="18" t="s">
        <v>30</v>
      </c>
      <c r="E171" s="18" t="s">
        <v>31</v>
      </c>
      <c r="F171" s="18" t="s">
        <v>44</v>
      </c>
      <c r="G171" s="18" t="s">
        <v>38</v>
      </c>
      <c r="H171" s="18">
        <v>8</v>
      </c>
      <c r="I171" s="18" t="s">
        <v>49</v>
      </c>
      <c r="J171" s="19">
        <v>13643</v>
      </c>
      <c r="K171" s="19">
        <f t="shared" si="20"/>
        <v>2728.6000000000004</v>
      </c>
      <c r="L171" s="19">
        <f>500</f>
        <v>500</v>
      </c>
      <c r="M171" s="19">
        <f>J171*0.06</f>
        <v>818.57999999999993</v>
      </c>
      <c r="N171" s="19">
        <f t="shared" si="21"/>
        <v>17690.18</v>
      </c>
      <c r="O171" s="19">
        <f t="shared" si="22"/>
        <v>2653.527</v>
      </c>
      <c r="P171" s="19">
        <f t="shared" si="23"/>
        <v>15036.653</v>
      </c>
    </row>
    <row r="172" spans="1:16" x14ac:dyDescent="0.25">
      <c r="A172" s="16">
        <v>171</v>
      </c>
      <c r="B172" s="16" t="s">
        <v>175</v>
      </c>
      <c r="C172" s="16" t="s">
        <v>17</v>
      </c>
      <c r="D172" s="16" t="s">
        <v>18</v>
      </c>
      <c r="E172" s="16" t="s">
        <v>19</v>
      </c>
      <c r="F172" s="16" t="s">
        <v>44</v>
      </c>
      <c r="G172" s="16" t="s">
        <v>27</v>
      </c>
      <c r="H172" s="16">
        <v>10</v>
      </c>
      <c r="I172" s="16" t="s">
        <v>28</v>
      </c>
      <c r="J172" s="17">
        <v>18651</v>
      </c>
      <c r="K172" s="17">
        <f t="shared" si="20"/>
        <v>3730.2000000000003</v>
      </c>
      <c r="L172" s="17">
        <f>500</f>
        <v>500</v>
      </c>
      <c r="M172" s="17">
        <f>J172*0</f>
        <v>0</v>
      </c>
      <c r="N172" s="17">
        <f t="shared" si="21"/>
        <v>22881.200000000001</v>
      </c>
      <c r="O172" s="17">
        <f t="shared" si="22"/>
        <v>3432.18</v>
      </c>
      <c r="P172" s="17">
        <f t="shared" si="23"/>
        <v>19449.02</v>
      </c>
    </row>
    <row r="173" spans="1:16" x14ac:dyDescent="0.25">
      <c r="A173" s="18">
        <v>172</v>
      </c>
      <c r="B173" s="18" t="s">
        <v>80</v>
      </c>
      <c r="C173" s="18" t="s">
        <v>17</v>
      </c>
      <c r="D173" s="18" t="s">
        <v>53</v>
      </c>
      <c r="E173" s="18" t="s">
        <v>54</v>
      </c>
      <c r="F173" s="18" t="s">
        <v>32</v>
      </c>
      <c r="G173" s="18" t="s">
        <v>21</v>
      </c>
      <c r="H173" s="18">
        <v>1</v>
      </c>
      <c r="I173" s="18" t="s">
        <v>34</v>
      </c>
      <c r="J173" s="19">
        <v>12768</v>
      </c>
      <c r="K173" s="19">
        <f t="shared" si="20"/>
        <v>2553.6000000000004</v>
      </c>
      <c r="L173" s="19">
        <f>500</f>
        <v>500</v>
      </c>
      <c r="M173" s="19">
        <f>J173*0.12</f>
        <v>1532.1599999999999</v>
      </c>
      <c r="N173" s="19">
        <f t="shared" si="21"/>
        <v>17353.760000000002</v>
      </c>
      <c r="O173" s="19">
        <f t="shared" si="22"/>
        <v>2603.0640000000003</v>
      </c>
      <c r="P173" s="19">
        <f t="shared" si="23"/>
        <v>14750.696000000002</v>
      </c>
    </row>
    <row r="174" spans="1:16" x14ac:dyDescent="0.25">
      <c r="A174" s="16">
        <v>173</v>
      </c>
      <c r="B174" s="16" t="s">
        <v>164</v>
      </c>
      <c r="C174" s="16" t="s">
        <v>17</v>
      </c>
      <c r="D174" s="16" t="s">
        <v>30</v>
      </c>
      <c r="E174" s="16" t="s">
        <v>31</v>
      </c>
      <c r="F174" s="16" t="s">
        <v>58</v>
      </c>
      <c r="G174" s="16" t="s">
        <v>27</v>
      </c>
      <c r="H174" s="16">
        <v>6</v>
      </c>
      <c r="I174" s="16" t="s">
        <v>28</v>
      </c>
      <c r="J174" s="17">
        <v>13260</v>
      </c>
      <c r="K174" s="17">
        <f t="shared" si="20"/>
        <v>2652</v>
      </c>
      <c r="L174" s="17">
        <f>500</f>
        <v>500</v>
      </c>
      <c r="M174" s="17">
        <f>J174*0</f>
        <v>0</v>
      </c>
      <c r="N174" s="17">
        <f t="shared" si="21"/>
        <v>16412</v>
      </c>
      <c r="O174" s="17">
        <f t="shared" si="22"/>
        <v>2461.7999999999997</v>
      </c>
      <c r="P174" s="17">
        <f t="shared" si="23"/>
        <v>13950.2</v>
      </c>
    </row>
    <row r="175" spans="1:16" x14ac:dyDescent="0.25">
      <c r="A175" s="18">
        <v>174</v>
      </c>
      <c r="B175" s="18" t="s">
        <v>176</v>
      </c>
      <c r="C175" s="18" t="s">
        <v>24</v>
      </c>
      <c r="D175" s="18" t="s">
        <v>53</v>
      </c>
      <c r="E175" s="18" t="s">
        <v>60</v>
      </c>
      <c r="F175" s="18" t="s">
        <v>58</v>
      </c>
      <c r="G175" s="18" t="s">
        <v>21</v>
      </c>
      <c r="H175" s="18">
        <v>18</v>
      </c>
      <c r="I175" s="18" t="s">
        <v>49</v>
      </c>
      <c r="J175" s="19">
        <v>20658</v>
      </c>
      <c r="K175" s="19">
        <f t="shared" si="20"/>
        <v>4131.6000000000004</v>
      </c>
      <c r="L175" s="19">
        <f>500</f>
        <v>500</v>
      </c>
      <c r="M175" s="19">
        <f>J175*0.06</f>
        <v>1239.48</v>
      </c>
      <c r="N175" s="19">
        <f t="shared" si="21"/>
        <v>26529.079999999998</v>
      </c>
      <c r="O175" s="19">
        <f t="shared" si="22"/>
        <v>3979.3619999999996</v>
      </c>
      <c r="P175" s="19">
        <f t="shared" si="23"/>
        <v>22549.717999999997</v>
      </c>
    </row>
    <row r="176" spans="1:16" x14ac:dyDescent="0.25">
      <c r="A176" s="16">
        <v>175</v>
      </c>
      <c r="B176" s="16" t="s">
        <v>177</v>
      </c>
      <c r="C176" s="16" t="s">
        <v>24</v>
      </c>
      <c r="D176" s="16" t="s">
        <v>18</v>
      </c>
      <c r="E176" s="16" t="s">
        <v>85</v>
      </c>
      <c r="F176" s="16" t="s">
        <v>20</v>
      </c>
      <c r="G176" s="16" t="s">
        <v>21</v>
      </c>
      <c r="H176" s="16">
        <v>9</v>
      </c>
      <c r="I176" s="16" t="s">
        <v>28</v>
      </c>
      <c r="J176" s="17">
        <v>10180</v>
      </c>
      <c r="K176" s="17">
        <f t="shared" si="20"/>
        <v>2036</v>
      </c>
      <c r="L176" s="17">
        <f>500</f>
        <v>500</v>
      </c>
      <c r="M176" s="17">
        <f>J176*0</f>
        <v>0</v>
      </c>
      <c r="N176" s="17">
        <f t="shared" si="21"/>
        <v>12716</v>
      </c>
      <c r="O176" s="17">
        <f t="shared" si="22"/>
        <v>1907.3999999999999</v>
      </c>
      <c r="P176" s="17">
        <f t="shared" si="23"/>
        <v>10808.6</v>
      </c>
    </row>
    <row r="177" spans="1:16" x14ac:dyDescent="0.25">
      <c r="A177" s="18">
        <v>176</v>
      </c>
      <c r="B177" s="18" t="s">
        <v>178</v>
      </c>
      <c r="C177" s="18" t="s">
        <v>24</v>
      </c>
      <c r="D177" s="18" t="s">
        <v>40</v>
      </c>
      <c r="E177" s="18" t="s">
        <v>81</v>
      </c>
      <c r="F177" s="18" t="s">
        <v>48</v>
      </c>
      <c r="G177" s="18" t="s">
        <v>33</v>
      </c>
      <c r="H177" s="18">
        <v>5</v>
      </c>
      <c r="I177" s="18" t="s">
        <v>28</v>
      </c>
      <c r="J177" s="19">
        <v>10578</v>
      </c>
      <c r="K177" s="19">
        <f t="shared" si="20"/>
        <v>2115.6</v>
      </c>
      <c r="L177" s="19">
        <f>500</f>
        <v>500</v>
      </c>
      <c r="M177" s="19">
        <f>J177*0</f>
        <v>0</v>
      </c>
      <c r="N177" s="19">
        <f t="shared" si="21"/>
        <v>13193.6</v>
      </c>
      <c r="O177" s="19">
        <f t="shared" si="22"/>
        <v>1979.04</v>
      </c>
      <c r="P177" s="19">
        <f t="shared" si="23"/>
        <v>11214.560000000001</v>
      </c>
    </row>
    <row r="178" spans="1:16" x14ac:dyDescent="0.25">
      <c r="A178" s="16">
        <v>177</v>
      </c>
      <c r="B178" s="16" t="s">
        <v>52</v>
      </c>
      <c r="C178" s="16" t="s">
        <v>24</v>
      </c>
      <c r="D178" s="16" t="s">
        <v>53</v>
      </c>
      <c r="E178" s="16" t="s">
        <v>60</v>
      </c>
      <c r="F178" s="16" t="s">
        <v>20</v>
      </c>
      <c r="G178" s="16" t="s">
        <v>27</v>
      </c>
      <c r="H178" s="16">
        <v>11</v>
      </c>
      <c r="I178" s="16" t="s">
        <v>28</v>
      </c>
      <c r="J178" s="17">
        <v>20964</v>
      </c>
      <c r="K178" s="17">
        <f t="shared" si="20"/>
        <v>4192.8</v>
      </c>
      <c r="L178" s="17">
        <f>500</f>
        <v>500</v>
      </c>
      <c r="M178" s="17">
        <f>J178*0</f>
        <v>0</v>
      </c>
      <c r="N178" s="17">
        <f t="shared" si="21"/>
        <v>25656.799999999999</v>
      </c>
      <c r="O178" s="17">
        <f t="shared" si="22"/>
        <v>3848.5199999999995</v>
      </c>
      <c r="P178" s="17">
        <f t="shared" si="23"/>
        <v>21808.28</v>
      </c>
    </row>
    <row r="179" spans="1:16" x14ac:dyDescent="0.25">
      <c r="A179" s="18">
        <v>178</v>
      </c>
      <c r="B179" s="18" t="s">
        <v>179</v>
      </c>
      <c r="C179" s="18" t="s">
        <v>17</v>
      </c>
      <c r="D179" s="18" t="s">
        <v>46</v>
      </c>
      <c r="E179" s="18" t="s">
        <v>56</v>
      </c>
      <c r="F179" s="18" t="s">
        <v>48</v>
      </c>
      <c r="G179" s="18" t="s">
        <v>21</v>
      </c>
      <c r="H179" s="18">
        <v>6</v>
      </c>
      <c r="I179" s="18" t="s">
        <v>49</v>
      </c>
      <c r="J179" s="19">
        <v>17792</v>
      </c>
      <c r="K179" s="19">
        <f t="shared" si="20"/>
        <v>3558.4</v>
      </c>
      <c r="L179" s="19">
        <f>500</f>
        <v>500</v>
      </c>
      <c r="M179" s="19">
        <f>J179*0.06</f>
        <v>1067.52</v>
      </c>
      <c r="N179" s="19">
        <f t="shared" si="21"/>
        <v>22917.920000000002</v>
      </c>
      <c r="O179" s="19">
        <f t="shared" si="22"/>
        <v>3437.6880000000001</v>
      </c>
      <c r="P179" s="19">
        <f t="shared" si="23"/>
        <v>19480.232000000004</v>
      </c>
    </row>
    <row r="180" spans="1:16" x14ac:dyDescent="0.25">
      <c r="A180" s="16">
        <v>179</v>
      </c>
      <c r="B180" s="16" t="s">
        <v>155</v>
      </c>
      <c r="C180" s="16" t="s">
        <v>24</v>
      </c>
      <c r="D180" s="16" t="s">
        <v>30</v>
      </c>
      <c r="E180" s="16" t="s">
        <v>31</v>
      </c>
      <c r="F180" s="16" t="s">
        <v>44</v>
      </c>
      <c r="G180" s="16" t="s">
        <v>21</v>
      </c>
      <c r="H180" s="16">
        <v>17</v>
      </c>
      <c r="I180" s="16" t="s">
        <v>28</v>
      </c>
      <c r="J180" s="17">
        <v>16420</v>
      </c>
      <c r="K180" s="17">
        <f t="shared" si="20"/>
        <v>3284</v>
      </c>
      <c r="L180" s="17">
        <f>500</f>
        <v>500</v>
      </c>
      <c r="M180" s="17">
        <f>J180*0</f>
        <v>0</v>
      </c>
      <c r="N180" s="17">
        <f t="shared" si="21"/>
        <v>20204</v>
      </c>
      <c r="O180" s="17">
        <f t="shared" si="22"/>
        <v>3030.6</v>
      </c>
      <c r="P180" s="17">
        <f t="shared" si="23"/>
        <v>17173.400000000001</v>
      </c>
    </row>
    <row r="181" spans="1:16" x14ac:dyDescent="0.25">
      <c r="A181" s="18">
        <v>180</v>
      </c>
      <c r="B181" s="18" t="s">
        <v>180</v>
      </c>
      <c r="C181" s="18" t="s">
        <v>24</v>
      </c>
      <c r="D181" s="18" t="s">
        <v>18</v>
      </c>
      <c r="E181" s="18" t="s">
        <v>85</v>
      </c>
      <c r="F181" s="18" t="s">
        <v>58</v>
      </c>
      <c r="G181" s="18" t="s">
        <v>38</v>
      </c>
      <c r="H181" s="18">
        <v>4</v>
      </c>
      <c r="I181" s="18" t="s">
        <v>49</v>
      </c>
      <c r="J181" s="19">
        <v>9577</v>
      </c>
      <c r="K181" s="19">
        <f t="shared" si="20"/>
        <v>1915.4</v>
      </c>
      <c r="L181" s="19">
        <f>500</f>
        <v>500</v>
      </c>
      <c r="M181" s="19">
        <f>J181*0.06</f>
        <v>574.62</v>
      </c>
      <c r="N181" s="19">
        <f t="shared" si="21"/>
        <v>12567.02</v>
      </c>
      <c r="O181" s="19">
        <f t="shared" si="22"/>
        <v>1885.0529999999999</v>
      </c>
      <c r="P181" s="19">
        <f t="shared" si="23"/>
        <v>10681.967000000001</v>
      </c>
    </row>
    <row r="182" spans="1:16" x14ac:dyDescent="0.25">
      <c r="A182" s="16">
        <v>181</v>
      </c>
      <c r="B182" s="16" t="s">
        <v>35</v>
      </c>
      <c r="C182" s="16" t="s">
        <v>24</v>
      </c>
      <c r="D182" s="16" t="s">
        <v>46</v>
      </c>
      <c r="E182" s="16" t="s">
        <v>56</v>
      </c>
      <c r="F182" s="16" t="s">
        <v>44</v>
      </c>
      <c r="G182" s="16" t="s">
        <v>21</v>
      </c>
      <c r="H182" s="16">
        <v>10</v>
      </c>
      <c r="I182" s="16" t="s">
        <v>49</v>
      </c>
      <c r="J182" s="17">
        <v>17798</v>
      </c>
      <c r="K182" s="17">
        <f t="shared" si="20"/>
        <v>3559.6000000000004</v>
      </c>
      <c r="L182" s="17">
        <f>500</f>
        <v>500</v>
      </c>
      <c r="M182" s="17">
        <f>J182*0.06</f>
        <v>1067.8799999999999</v>
      </c>
      <c r="N182" s="17">
        <f t="shared" si="21"/>
        <v>22925.48</v>
      </c>
      <c r="O182" s="17">
        <f t="shared" si="22"/>
        <v>3438.8219999999997</v>
      </c>
      <c r="P182" s="17">
        <f t="shared" si="23"/>
        <v>19486.657999999999</v>
      </c>
    </row>
    <row r="183" spans="1:16" x14ac:dyDescent="0.25">
      <c r="A183" s="18">
        <v>182</v>
      </c>
      <c r="B183" s="18" t="s">
        <v>147</v>
      </c>
      <c r="C183" s="18" t="s">
        <v>17</v>
      </c>
      <c r="D183" s="18" t="s">
        <v>40</v>
      </c>
      <c r="E183" s="18" t="s">
        <v>43</v>
      </c>
      <c r="F183" s="18" t="s">
        <v>32</v>
      </c>
      <c r="G183" s="18" t="s">
        <v>38</v>
      </c>
      <c r="H183" s="18">
        <v>7</v>
      </c>
      <c r="I183" s="18" t="s">
        <v>28</v>
      </c>
      <c r="J183" s="19">
        <v>17524</v>
      </c>
      <c r="K183" s="19">
        <f t="shared" si="20"/>
        <v>3504.8</v>
      </c>
      <c r="L183" s="19">
        <f>500</f>
        <v>500</v>
      </c>
      <c r="M183" s="19">
        <f>J183*0</f>
        <v>0</v>
      </c>
      <c r="N183" s="19">
        <f t="shared" si="21"/>
        <v>21528.799999999999</v>
      </c>
      <c r="O183" s="19">
        <f t="shared" si="22"/>
        <v>3229.3199999999997</v>
      </c>
      <c r="P183" s="19">
        <f t="shared" si="23"/>
        <v>18299.48</v>
      </c>
    </row>
    <row r="184" spans="1:16" x14ac:dyDescent="0.25">
      <c r="A184" s="16">
        <v>183</v>
      </c>
      <c r="B184" s="16" t="s">
        <v>116</v>
      </c>
      <c r="C184" s="16" t="s">
        <v>17</v>
      </c>
      <c r="D184" s="16" t="s">
        <v>18</v>
      </c>
      <c r="E184" s="16" t="s">
        <v>85</v>
      </c>
      <c r="F184" s="16" t="s">
        <v>58</v>
      </c>
      <c r="G184" s="16" t="s">
        <v>21</v>
      </c>
      <c r="H184" s="16">
        <v>2</v>
      </c>
      <c r="I184" s="16" t="s">
        <v>28</v>
      </c>
      <c r="J184" s="17">
        <v>10115</v>
      </c>
      <c r="K184" s="17">
        <f t="shared" si="20"/>
        <v>2023</v>
      </c>
      <c r="L184" s="17">
        <f>500</f>
        <v>500</v>
      </c>
      <c r="M184" s="17">
        <f>J184*0</f>
        <v>0</v>
      </c>
      <c r="N184" s="17">
        <f t="shared" si="21"/>
        <v>12638</v>
      </c>
      <c r="O184" s="17">
        <f t="shared" si="22"/>
        <v>1895.6999999999998</v>
      </c>
      <c r="P184" s="17">
        <f t="shared" si="23"/>
        <v>10742.3</v>
      </c>
    </row>
    <row r="185" spans="1:16" x14ac:dyDescent="0.25">
      <c r="A185" s="18">
        <v>184</v>
      </c>
      <c r="B185" s="18" t="s">
        <v>181</v>
      </c>
      <c r="C185" s="18" t="s">
        <v>17</v>
      </c>
      <c r="D185" s="18" t="s">
        <v>30</v>
      </c>
      <c r="E185" s="18" t="s">
        <v>66</v>
      </c>
      <c r="F185" s="18" t="s">
        <v>44</v>
      </c>
      <c r="G185" s="18" t="s">
        <v>21</v>
      </c>
      <c r="H185" s="18">
        <v>1</v>
      </c>
      <c r="I185" s="18" t="s">
        <v>22</v>
      </c>
      <c r="J185" s="19">
        <v>7248</v>
      </c>
      <c r="K185" s="19">
        <f t="shared" si="20"/>
        <v>1449.6000000000001</v>
      </c>
      <c r="L185" s="19">
        <f>500</f>
        <v>500</v>
      </c>
      <c r="M185" s="19">
        <f>J185*0.2</f>
        <v>1449.6000000000001</v>
      </c>
      <c r="N185" s="19">
        <f t="shared" si="21"/>
        <v>10647.2</v>
      </c>
      <c r="O185" s="19">
        <f t="shared" si="22"/>
        <v>1597.0800000000002</v>
      </c>
      <c r="P185" s="19">
        <f t="shared" si="23"/>
        <v>9050.1200000000008</v>
      </c>
    </row>
    <row r="186" spans="1:16" x14ac:dyDescent="0.25">
      <c r="A186" s="16">
        <v>185</v>
      </c>
      <c r="B186" s="16" t="s">
        <v>182</v>
      </c>
      <c r="C186" s="16" t="s">
        <v>17</v>
      </c>
      <c r="D186" s="16" t="s">
        <v>53</v>
      </c>
      <c r="E186" s="16" t="s">
        <v>60</v>
      </c>
      <c r="F186" s="16" t="s">
        <v>32</v>
      </c>
      <c r="G186" s="16" t="s">
        <v>33</v>
      </c>
      <c r="H186" s="16">
        <v>20</v>
      </c>
      <c r="I186" s="16" t="s">
        <v>34</v>
      </c>
      <c r="J186" s="17">
        <v>23670</v>
      </c>
      <c r="K186" s="17">
        <f t="shared" si="20"/>
        <v>4734</v>
      </c>
      <c r="L186" s="17">
        <f>500</f>
        <v>500</v>
      </c>
      <c r="M186" s="17">
        <f>J186*0.12</f>
        <v>2840.4</v>
      </c>
      <c r="N186" s="17">
        <f t="shared" si="21"/>
        <v>31744.400000000001</v>
      </c>
      <c r="O186" s="17">
        <f t="shared" si="22"/>
        <v>4761.66</v>
      </c>
      <c r="P186" s="17">
        <f t="shared" si="23"/>
        <v>26982.74</v>
      </c>
    </row>
    <row r="187" spans="1:16" x14ac:dyDescent="0.25">
      <c r="A187" s="18">
        <v>186</v>
      </c>
      <c r="B187" s="18" t="s">
        <v>82</v>
      </c>
      <c r="C187" s="18" t="s">
        <v>24</v>
      </c>
      <c r="D187" s="18" t="s">
        <v>18</v>
      </c>
      <c r="E187" s="18" t="s">
        <v>98</v>
      </c>
      <c r="F187" s="18" t="s">
        <v>48</v>
      </c>
      <c r="G187" s="18" t="s">
        <v>27</v>
      </c>
      <c r="H187" s="18">
        <v>4</v>
      </c>
      <c r="I187" s="18" t="s">
        <v>34</v>
      </c>
      <c r="J187" s="19">
        <v>12670</v>
      </c>
      <c r="K187" s="19">
        <f t="shared" si="20"/>
        <v>2534</v>
      </c>
      <c r="L187" s="19">
        <f>500</f>
        <v>500</v>
      </c>
      <c r="M187" s="19">
        <f>J187*0.12</f>
        <v>1520.3999999999999</v>
      </c>
      <c r="N187" s="19">
        <f t="shared" si="21"/>
        <v>17224.400000000001</v>
      </c>
      <c r="O187" s="19">
        <f t="shared" si="22"/>
        <v>2583.6600000000003</v>
      </c>
      <c r="P187" s="19">
        <f t="shared" si="23"/>
        <v>14640.740000000002</v>
      </c>
    </row>
    <row r="188" spans="1:16" x14ac:dyDescent="0.25">
      <c r="A188" s="16">
        <v>187</v>
      </c>
      <c r="B188" s="16" t="s">
        <v>183</v>
      </c>
      <c r="C188" s="16" t="s">
        <v>17</v>
      </c>
      <c r="D188" s="16" t="s">
        <v>46</v>
      </c>
      <c r="E188" s="16" t="s">
        <v>83</v>
      </c>
      <c r="F188" s="16" t="s">
        <v>44</v>
      </c>
      <c r="G188" s="16" t="s">
        <v>38</v>
      </c>
      <c r="H188" s="16">
        <v>10</v>
      </c>
      <c r="I188" s="16" t="s">
        <v>34</v>
      </c>
      <c r="J188" s="17">
        <v>26544</v>
      </c>
      <c r="K188" s="17">
        <f t="shared" si="20"/>
        <v>5308.8</v>
      </c>
      <c r="L188" s="17">
        <f>500</f>
        <v>500</v>
      </c>
      <c r="M188" s="17">
        <f>J188*0.12</f>
        <v>3185.2799999999997</v>
      </c>
      <c r="N188" s="17">
        <f t="shared" si="21"/>
        <v>35538.080000000002</v>
      </c>
      <c r="O188" s="17">
        <f t="shared" si="22"/>
        <v>5330.7120000000004</v>
      </c>
      <c r="P188" s="17">
        <f t="shared" si="23"/>
        <v>30207.368000000002</v>
      </c>
    </row>
    <row r="189" spans="1:16" x14ac:dyDescent="0.25">
      <c r="A189" s="18">
        <v>188</v>
      </c>
      <c r="B189" s="18" t="s">
        <v>168</v>
      </c>
      <c r="C189" s="18" t="s">
        <v>17</v>
      </c>
      <c r="D189" s="18" t="s">
        <v>40</v>
      </c>
      <c r="E189" s="18" t="s">
        <v>41</v>
      </c>
      <c r="F189" s="18" t="s">
        <v>32</v>
      </c>
      <c r="G189" s="18" t="s">
        <v>21</v>
      </c>
      <c r="H189" s="18">
        <v>16</v>
      </c>
      <c r="I189" s="18" t="s">
        <v>22</v>
      </c>
      <c r="J189" s="19">
        <v>32124</v>
      </c>
      <c r="K189" s="19">
        <f t="shared" si="20"/>
        <v>6424.8</v>
      </c>
      <c r="L189" s="19">
        <f>500</f>
        <v>500</v>
      </c>
      <c r="M189" s="19">
        <f>J189*0.2</f>
        <v>6424.8</v>
      </c>
      <c r="N189" s="19">
        <f t="shared" si="21"/>
        <v>45473.600000000006</v>
      </c>
      <c r="O189" s="19">
        <f t="shared" si="22"/>
        <v>6821.0400000000009</v>
      </c>
      <c r="P189" s="19">
        <f t="shared" si="23"/>
        <v>38652.560000000005</v>
      </c>
    </row>
    <row r="190" spans="1:16" x14ac:dyDescent="0.25">
      <c r="A190" s="16">
        <v>189</v>
      </c>
      <c r="B190" s="16" t="s">
        <v>184</v>
      </c>
      <c r="C190" s="16" t="s">
        <v>17</v>
      </c>
      <c r="D190" s="16" t="s">
        <v>25</v>
      </c>
      <c r="E190" s="16" t="s">
        <v>51</v>
      </c>
      <c r="F190" s="16" t="s">
        <v>20</v>
      </c>
      <c r="G190" s="16" t="s">
        <v>33</v>
      </c>
      <c r="H190" s="16">
        <v>20</v>
      </c>
      <c r="I190" s="16" t="s">
        <v>34</v>
      </c>
      <c r="J190" s="17">
        <v>27102</v>
      </c>
      <c r="K190" s="17">
        <f t="shared" si="20"/>
        <v>5420.4000000000005</v>
      </c>
      <c r="L190" s="17">
        <f>500</f>
        <v>500</v>
      </c>
      <c r="M190" s="17">
        <f>J190*0.12</f>
        <v>3252.24</v>
      </c>
      <c r="N190" s="17">
        <f t="shared" si="21"/>
        <v>36274.639999999999</v>
      </c>
      <c r="O190" s="17">
        <f t="shared" si="22"/>
        <v>5441.1959999999999</v>
      </c>
      <c r="P190" s="17">
        <f t="shared" si="23"/>
        <v>30833.444</v>
      </c>
    </row>
    <row r="191" spans="1:16" x14ac:dyDescent="0.25">
      <c r="A191" s="18">
        <v>190</v>
      </c>
      <c r="B191" s="18" t="s">
        <v>126</v>
      </c>
      <c r="C191" s="18" t="s">
        <v>17</v>
      </c>
      <c r="D191" s="18" t="s">
        <v>30</v>
      </c>
      <c r="E191" s="18" t="s">
        <v>31</v>
      </c>
      <c r="F191" s="18" t="s">
        <v>48</v>
      </c>
      <c r="G191" s="18" t="s">
        <v>27</v>
      </c>
      <c r="H191" s="18">
        <v>5</v>
      </c>
      <c r="I191" s="18" t="s">
        <v>22</v>
      </c>
      <c r="J191" s="19">
        <v>13289</v>
      </c>
      <c r="K191" s="19">
        <f t="shared" si="20"/>
        <v>2657.8</v>
      </c>
      <c r="L191" s="19">
        <f>500</f>
        <v>500</v>
      </c>
      <c r="M191" s="19">
        <f>J191*0.2</f>
        <v>2657.8</v>
      </c>
      <c r="N191" s="19">
        <f t="shared" si="21"/>
        <v>19104.599999999999</v>
      </c>
      <c r="O191" s="19">
        <f t="shared" si="22"/>
        <v>2865.6899999999996</v>
      </c>
      <c r="P191" s="19">
        <f t="shared" si="23"/>
        <v>16238.91</v>
      </c>
    </row>
    <row r="192" spans="1:16" x14ac:dyDescent="0.25">
      <c r="A192" s="16">
        <v>191</v>
      </c>
      <c r="B192" s="16" t="s">
        <v>185</v>
      </c>
      <c r="C192" s="16" t="s">
        <v>24</v>
      </c>
      <c r="D192" s="16" t="s">
        <v>36</v>
      </c>
      <c r="E192" s="16" t="s">
        <v>62</v>
      </c>
      <c r="F192" s="16" t="s">
        <v>58</v>
      </c>
      <c r="G192" s="16" t="s">
        <v>33</v>
      </c>
      <c r="H192" s="16">
        <v>1</v>
      </c>
      <c r="I192" s="16" t="s">
        <v>49</v>
      </c>
      <c r="J192" s="17">
        <v>22029</v>
      </c>
      <c r="K192" s="17">
        <f t="shared" si="20"/>
        <v>4405.8</v>
      </c>
      <c r="L192" s="17">
        <f>500</f>
        <v>500</v>
      </c>
      <c r="M192" s="17">
        <f>J192*0.06</f>
        <v>1321.74</v>
      </c>
      <c r="N192" s="17">
        <f t="shared" si="21"/>
        <v>28256.54</v>
      </c>
      <c r="O192" s="17">
        <f t="shared" si="22"/>
        <v>4238.4809999999998</v>
      </c>
      <c r="P192" s="17">
        <f t="shared" si="23"/>
        <v>24018.059000000001</v>
      </c>
    </row>
    <row r="193" spans="1:16" x14ac:dyDescent="0.25">
      <c r="A193" s="18">
        <v>192</v>
      </c>
      <c r="B193" s="18" t="s">
        <v>65</v>
      </c>
      <c r="C193" s="18" t="s">
        <v>24</v>
      </c>
      <c r="D193" s="18" t="s">
        <v>30</v>
      </c>
      <c r="E193" s="18" t="s">
        <v>66</v>
      </c>
      <c r="F193" s="18" t="s">
        <v>58</v>
      </c>
      <c r="G193" s="18" t="s">
        <v>21</v>
      </c>
      <c r="H193" s="18">
        <v>10</v>
      </c>
      <c r="I193" s="18" t="s">
        <v>28</v>
      </c>
      <c r="J193" s="19">
        <v>9136</v>
      </c>
      <c r="K193" s="19">
        <f t="shared" si="20"/>
        <v>1827.2</v>
      </c>
      <c r="L193" s="19">
        <f>500</f>
        <v>500</v>
      </c>
      <c r="M193" s="19">
        <f>J193*0</f>
        <v>0</v>
      </c>
      <c r="N193" s="19">
        <f t="shared" si="21"/>
        <v>11463.2</v>
      </c>
      <c r="O193" s="19">
        <f t="shared" si="22"/>
        <v>1719.48</v>
      </c>
      <c r="P193" s="19">
        <f t="shared" si="23"/>
        <v>9743.7200000000012</v>
      </c>
    </row>
    <row r="194" spans="1:16" x14ac:dyDescent="0.25">
      <c r="A194" s="16">
        <v>193</v>
      </c>
      <c r="B194" s="16" t="s">
        <v>75</v>
      </c>
      <c r="C194" s="16" t="s">
        <v>17</v>
      </c>
      <c r="D194" s="16" t="s">
        <v>30</v>
      </c>
      <c r="E194" s="16" t="s">
        <v>68</v>
      </c>
      <c r="F194" s="16" t="s">
        <v>20</v>
      </c>
      <c r="G194" s="16" t="s">
        <v>21</v>
      </c>
      <c r="H194" s="16">
        <v>13</v>
      </c>
      <c r="I194" s="16" t="s">
        <v>49</v>
      </c>
      <c r="J194" s="17">
        <v>22184</v>
      </c>
      <c r="K194" s="17">
        <f t="shared" ref="K194:K225" si="24">J194*0.2</f>
        <v>4436.8</v>
      </c>
      <c r="L194" s="17">
        <f>500</f>
        <v>500</v>
      </c>
      <c r="M194" s="17">
        <f>J194*0.06</f>
        <v>1331.04</v>
      </c>
      <c r="N194" s="17">
        <f t="shared" ref="N194:N225" si="25">J194+K194+L194+M194</f>
        <v>28451.84</v>
      </c>
      <c r="O194" s="17">
        <f t="shared" ref="O194:O225" si="26">IF(N194&gt;10000,N194*0.15,N194*0.1)</f>
        <v>4267.7759999999998</v>
      </c>
      <c r="P194" s="17">
        <f t="shared" ref="P194:P225" si="27">N194-O194</f>
        <v>24184.063999999998</v>
      </c>
    </row>
    <row r="195" spans="1:16" x14ac:dyDescent="0.25">
      <c r="A195" s="18">
        <v>194</v>
      </c>
      <c r="B195" s="18" t="s">
        <v>186</v>
      </c>
      <c r="C195" s="18" t="s">
        <v>24</v>
      </c>
      <c r="D195" s="18" t="s">
        <v>30</v>
      </c>
      <c r="E195" s="18" t="s">
        <v>66</v>
      </c>
      <c r="F195" s="18" t="s">
        <v>44</v>
      </c>
      <c r="G195" s="18" t="s">
        <v>33</v>
      </c>
      <c r="H195" s="18">
        <v>16</v>
      </c>
      <c r="I195" s="18" t="s">
        <v>34</v>
      </c>
      <c r="J195" s="19">
        <v>9269</v>
      </c>
      <c r="K195" s="19">
        <f t="shared" si="24"/>
        <v>1853.8000000000002</v>
      </c>
      <c r="L195" s="19">
        <f>500</f>
        <v>500</v>
      </c>
      <c r="M195" s="19">
        <f>J195*0.12</f>
        <v>1112.28</v>
      </c>
      <c r="N195" s="19">
        <f t="shared" si="25"/>
        <v>12735.08</v>
      </c>
      <c r="O195" s="19">
        <f t="shared" si="26"/>
        <v>1910.2619999999999</v>
      </c>
      <c r="P195" s="19">
        <f t="shared" si="27"/>
        <v>10824.817999999999</v>
      </c>
    </row>
    <row r="196" spans="1:16" x14ac:dyDescent="0.25">
      <c r="A196" s="16">
        <v>195</v>
      </c>
      <c r="B196" s="16" t="s">
        <v>187</v>
      </c>
      <c r="C196" s="16" t="s">
        <v>24</v>
      </c>
      <c r="D196" s="16" t="s">
        <v>18</v>
      </c>
      <c r="E196" s="16" t="s">
        <v>85</v>
      </c>
      <c r="F196" s="16" t="s">
        <v>48</v>
      </c>
      <c r="G196" s="16" t="s">
        <v>33</v>
      </c>
      <c r="H196" s="16">
        <v>15</v>
      </c>
      <c r="I196" s="16" t="s">
        <v>49</v>
      </c>
      <c r="J196" s="17">
        <v>12825</v>
      </c>
      <c r="K196" s="17">
        <f t="shared" si="24"/>
        <v>2565</v>
      </c>
      <c r="L196" s="17">
        <f>500</f>
        <v>500</v>
      </c>
      <c r="M196" s="17">
        <f>J196*0.06</f>
        <v>769.5</v>
      </c>
      <c r="N196" s="17">
        <f t="shared" si="25"/>
        <v>16659.5</v>
      </c>
      <c r="O196" s="17">
        <f t="shared" si="26"/>
        <v>2498.9249999999997</v>
      </c>
      <c r="P196" s="17">
        <f t="shared" si="27"/>
        <v>14160.575000000001</v>
      </c>
    </row>
    <row r="197" spans="1:16" x14ac:dyDescent="0.25">
      <c r="A197" s="18">
        <v>196</v>
      </c>
      <c r="B197" s="18" t="s">
        <v>136</v>
      </c>
      <c r="C197" s="18" t="s">
        <v>17</v>
      </c>
      <c r="D197" s="18" t="s">
        <v>30</v>
      </c>
      <c r="E197" s="18" t="s">
        <v>31</v>
      </c>
      <c r="F197" s="18" t="s">
        <v>32</v>
      </c>
      <c r="G197" s="18" t="s">
        <v>38</v>
      </c>
      <c r="H197" s="18">
        <v>20</v>
      </c>
      <c r="I197" s="18" t="s">
        <v>22</v>
      </c>
      <c r="J197" s="19">
        <v>18611</v>
      </c>
      <c r="K197" s="19">
        <f t="shared" si="24"/>
        <v>3722.2000000000003</v>
      </c>
      <c r="L197" s="19">
        <f>500</f>
        <v>500</v>
      </c>
      <c r="M197" s="19">
        <f>J197*0.2</f>
        <v>3722.2000000000003</v>
      </c>
      <c r="N197" s="19">
        <f t="shared" si="25"/>
        <v>26555.4</v>
      </c>
      <c r="O197" s="19">
        <f t="shared" si="26"/>
        <v>3983.31</v>
      </c>
      <c r="P197" s="19">
        <f t="shared" si="27"/>
        <v>22572.09</v>
      </c>
    </row>
    <row r="198" spans="1:16" x14ac:dyDescent="0.25">
      <c r="A198" s="16">
        <v>197</v>
      </c>
      <c r="B198" s="16" t="s">
        <v>184</v>
      </c>
      <c r="C198" s="16" t="s">
        <v>17</v>
      </c>
      <c r="D198" s="16" t="s">
        <v>36</v>
      </c>
      <c r="E198" s="16" t="s">
        <v>120</v>
      </c>
      <c r="F198" s="16" t="s">
        <v>48</v>
      </c>
      <c r="G198" s="16" t="s">
        <v>33</v>
      </c>
      <c r="H198" s="16">
        <v>20</v>
      </c>
      <c r="I198" s="16" t="s">
        <v>34</v>
      </c>
      <c r="J198" s="17">
        <v>16969</v>
      </c>
      <c r="K198" s="17">
        <f t="shared" si="24"/>
        <v>3393.8</v>
      </c>
      <c r="L198" s="17">
        <f>500</f>
        <v>500</v>
      </c>
      <c r="M198" s="17">
        <f>J198*0.12</f>
        <v>2036.28</v>
      </c>
      <c r="N198" s="17">
        <f t="shared" si="25"/>
        <v>22899.079999999998</v>
      </c>
      <c r="O198" s="17">
        <f t="shared" si="26"/>
        <v>3434.8619999999996</v>
      </c>
      <c r="P198" s="17">
        <f t="shared" si="27"/>
        <v>19464.217999999997</v>
      </c>
    </row>
    <row r="199" spans="1:16" x14ac:dyDescent="0.25">
      <c r="A199" s="18">
        <v>198</v>
      </c>
      <c r="B199" s="18" t="s">
        <v>188</v>
      </c>
      <c r="C199" s="18" t="s">
        <v>17</v>
      </c>
      <c r="D199" s="18" t="s">
        <v>46</v>
      </c>
      <c r="E199" s="18" t="s">
        <v>56</v>
      </c>
      <c r="F199" s="18" t="s">
        <v>48</v>
      </c>
      <c r="G199" s="18" t="s">
        <v>27</v>
      </c>
      <c r="H199" s="18">
        <v>19</v>
      </c>
      <c r="I199" s="18" t="s">
        <v>22</v>
      </c>
      <c r="J199" s="19">
        <v>20123</v>
      </c>
      <c r="K199" s="19">
        <f t="shared" si="24"/>
        <v>4024.6000000000004</v>
      </c>
      <c r="L199" s="19">
        <f>500</f>
        <v>500</v>
      </c>
      <c r="M199" s="19">
        <f>J199*0.2</f>
        <v>4024.6000000000004</v>
      </c>
      <c r="N199" s="19">
        <f t="shared" si="25"/>
        <v>28672.199999999997</v>
      </c>
      <c r="O199" s="19">
        <f t="shared" si="26"/>
        <v>4300.829999999999</v>
      </c>
      <c r="P199" s="19">
        <f t="shared" si="27"/>
        <v>24371.37</v>
      </c>
    </row>
    <row r="200" spans="1:16" x14ac:dyDescent="0.25">
      <c r="A200" s="16">
        <v>199</v>
      </c>
      <c r="B200" s="16" t="s">
        <v>128</v>
      </c>
      <c r="C200" s="16" t="s">
        <v>24</v>
      </c>
      <c r="D200" s="16" t="s">
        <v>46</v>
      </c>
      <c r="E200" s="16" t="s">
        <v>47</v>
      </c>
      <c r="F200" s="16" t="s">
        <v>48</v>
      </c>
      <c r="G200" s="16" t="s">
        <v>38</v>
      </c>
      <c r="H200" s="16">
        <v>18</v>
      </c>
      <c r="I200" s="16" t="s">
        <v>22</v>
      </c>
      <c r="J200" s="17">
        <v>25337</v>
      </c>
      <c r="K200" s="17">
        <f t="shared" si="24"/>
        <v>5067.4000000000005</v>
      </c>
      <c r="L200" s="17">
        <f>500</f>
        <v>500</v>
      </c>
      <c r="M200" s="17">
        <f>J200*0.2</f>
        <v>5067.4000000000005</v>
      </c>
      <c r="N200" s="17">
        <f t="shared" si="25"/>
        <v>35971.800000000003</v>
      </c>
      <c r="O200" s="17">
        <f t="shared" si="26"/>
        <v>5395.77</v>
      </c>
      <c r="P200" s="17">
        <f t="shared" si="27"/>
        <v>30576.030000000002</v>
      </c>
    </row>
    <row r="201" spans="1:16" x14ac:dyDescent="0.25">
      <c r="A201" s="18">
        <v>200</v>
      </c>
      <c r="B201" s="18" t="s">
        <v>189</v>
      </c>
      <c r="C201" s="18" t="s">
        <v>17</v>
      </c>
      <c r="D201" s="18" t="s">
        <v>53</v>
      </c>
      <c r="E201" s="18" t="s">
        <v>60</v>
      </c>
      <c r="F201" s="18" t="s">
        <v>58</v>
      </c>
      <c r="G201" s="18" t="s">
        <v>38</v>
      </c>
      <c r="H201" s="18">
        <v>20</v>
      </c>
      <c r="I201" s="18" t="s">
        <v>22</v>
      </c>
      <c r="J201" s="19">
        <v>23955</v>
      </c>
      <c r="K201" s="19">
        <f t="shared" si="24"/>
        <v>4791</v>
      </c>
      <c r="L201" s="19">
        <f>500</f>
        <v>500</v>
      </c>
      <c r="M201" s="19">
        <f>J201*0.2</f>
        <v>4791</v>
      </c>
      <c r="N201" s="19">
        <f t="shared" si="25"/>
        <v>34037</v>
      </c>
      <c r="O201" s="19">
        <f t="shared" si="26"/>
        <v>5105.55</v>
      </c>
      <c r="P201" s="19">
        <f t="shared" si="27"/>
        <v>28931.45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showGridLines="0" showRowColHeaders="0" rightToLeft="1" tabSelected="1" zoomScale="50" zoomScaleNormal="50" workbookViewId="0">
      <selection activeCell="C22" sqref="C22"/>
    </sheetView>
  </sheetViews>
  <sheetFormatPr defaultColWidth="8.7109375" defaultRowHeight="15" x14ac:dyDescent="0.25"/>
  <cols>
    <col min="1" max="2" width="18" customWidth="1"/>
    <col min="3" max="4" width="20" customWidth="1"/>
    <col min="5" max="5" width="3" customWidth="1"/>
    <col min="6" max="7" width="18" customWidth="1"/>
    <col min="8" max="11" width="20" customWidth="1"/>
    <col min="12" max="12" width="3" customWidth="1"/>
  </cols>
  <sheetData>
    <row r="1" spans="1:12" ht="48" customHeight="1" x14ac:dyDescent="0.25">
      <c r="A1" s="31" t="s">
        <v>206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5.5" customHeight="1" x14ac:dyDescent="0.25">
      <c r="A3" s="13" t="s">
        <v>190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1:12" ht="21.75" customHeight="1" x14ac:dyDescent="0.25">
      <c r="A5" s="12" t="s">
        <v>191</v>
      </c>
      <c r="B5" s="12"/>
      <c r="C5" s="12"/>
      <c r="D5" s="11" t="s">
        <v>192</v>
      </c>
      <c r="E5" s="11"/>
      <c r="F5" s="11"/>
      <c r="G5" s="10" t="s">
        <v>193</v>
      </c>
      <c r="H5" s="10"/>
      <c r="I5" s="10"/>
      <c r="J5" s="9" t="s">
        <v>194</v>
      </c>
      <c r="K5" s="9"/>
      <c r="L5" s="9"/>
    </row>
    <row r="6" spans="1:12" ht="39.75" customHeight="1" x14ac:dyDescent="0.25">
      <c r="A6" s="8">
        <f>COUNTA('📋 Raw Data'!B2:B201)</f>
        <v>200</v>
      </c>
      <c r="B6" s="8"/>
      <c r="C6" s="8"/>
      <c r="D6" s="7">
        <f>SUM('📋 Raw Data'!N2:N201)</f>
        <v>4426098.7399999993</v>
      </c>
      <c r="E6" s="7"/>
      <c r="F6" s="7"/>
      <c r="G6" s="6">
        <f>AVERAGE('📋 Raw Data'!P2:P201)</f>
        <v>18815.268544999999</v>
      </c>
      <c r="H6" s="6"/>
      <c r="I6" s="6"/>
      <c r="J6" s="5">
        <f>MAX('📋 Raw Data'!N2:N201)</f>
        <v>45473.600000000006</v>
      </c>
      <c r="K6" s="5"/>
      <c r="L6" s="5"/>
    </row>
    <row r="7" spans="1:12" ht="12" customHeight="1" x14ac:dyDescent="0.25">
      <c r="A7" s="4"/>
      <c r="B7" s="4"/>
      <c r="C7" s="4"/>
      <c r="D7" s="3"/>
      <c r="E7" s="3"/>
      <c r="F7" s="3"/>
      <c r="G7" s="2"/>
      <c r="H7" s="2"/>
      <c r="I7" s="2"/>
      <c r="J7" s="1"/>
      <c r="K7" s="1"/>
      <c r="L7" s="1"/>
    </row>
    <row r="9" spans="1:12" ht="25.5" customHeight="1" x14ac:dyDescent="0.25">
      <c r="A9" s="27" t="s">
        <v>195</v>
      </c>
      <c r="B9" s="27"/>
      <c r="C9" s="27"/>
      <c r="D9" s="27"/>
      <c r="F9" s="28" t="s">
        <v>196</v>
      </c>
      <c r="G9" s="28"/>
      <c r="H9" s="28"/>
      <c r="I9" s="28"/>
    </row>
    <row r="10" spans="1:12" x14ac:dyDescent="0.25">
      <c r="A10" s="20" t="s">
        <v>3</v>
      </c>
      <c r="B10" s="20" t="s">
        <v>197</v>
      </c>
      <c r="C10" s="20" t="s">
        <v>198</v>
      </c>
      <c r="D10" s="20" t="s">
        <v>199</v>
      </c>
      <c r="F10" s="20" t="s">
        <v>200</v>
      </c>
      <c r="G10" s="20" t="s">
        <v>197</v>
      </c>
      <c r="H10" s="20" t="s">
        <v>201</v>
      </c>
      <c r="I10" s="20" t="s">
        <v>199</v>
      </c>
    </row>
    <row r="11" spans="1:12" x14ac:dyDescent="0.25">
      <c r="A11" s="21" t="s">
        <v>30</v>
      </c>
      <c r="B11" s="22">
        <f>COUNTIF('📋 Raw Data'!D$2:D$201,A11)</f>
        <v>34</v>
      </c>
      <c r="C11" s="17">
        <f>AVERAGEIF('📋 Raw Data'!D$2:D$201,A11,'📋 Raw Data'!N$2:N$201)</f>
        <v>18136.311764705879</v>
      </c>
      <c r="D11" s="17">
        <f>SUMIF('📋 Raw Data'!D$2:D$201,A11,'📋 Raw Data'!M$2:M$201)</f>
        <v>47590.200000000004</v>
      </c>
      <c r="F11" s="21" t="s">
        <v>22</v>
      </c>
      <c r="G11" s="22">
        <f>COUNTIF('📋 Raw Data'!I$2:I$201,F11)</f>
        <v>46</v>
      </c>
      <c r="H11" s="17">
        <f>AVERAGEIF('📋 Raw Data'!I$2:I$201,F11,'📋 Raw Data'!P$2:P$201)</f>
        <v>20760.004565217394</v>
      </c>
      <c r="I11" s="17">
        <f>SUMIF('📋 Raw Data'!I$2:I$201,F11,'📋 Raw Data'!M$2:M$201)</f>
        <v>157211.79999999999</v>
      </c>
    </row>
    <row r="12" spans="1:12" x14ac:dyDescent="0.25">
      <c r="A12" s="23" t="s">
        <v>36</v>
      </c>
      <c r="B12" s="24">
        <f>COUNTIF('📋 Raw Data'!D$2:D$201,A12)</f>
        <v>27</v>
      </c>
      <c r="C12" s="19">
        <f>AVERAGEIF('📋 Raw Data'!D$2:D$201,A12,'📋 Raw Data'!N$2:N$201)</f>
        <v>22137.762962962963</v>
      </c>
      <c r="D12" s="19">
        <f>SUMIF('📋 Raw Data'!D$2:D$201,A12,'📋 Raw Data'!M$2:M$201)</f>
        <v>43817.599999999999</v>
      </c>
      <c r="F12" s="23" t="s">
        <v>34</v>
      </c>
      <c r="G12" s="24">
        <f>COUNTIF('📋 Raw Data'!I$2:I$201,F12)</f>
        <v>58</v>
      </c>
      <c r="H12" s="19">
        <f>AVERAGEIF('📋 Raw Data'!I$2:I$201,F12,'📋 Raw Data'!P$2:P$201)</f>
        <v>18591.650206896553</v>
      </c>
      <c r="I12" s="19">
        <f>SUMIF('📋 Raw Data'!I$2:I$201,F12,'📋 Raw Data'!M$2:M$201)</f>
        <v>112691.51999999999</v>
      </c>
    </row>
    <row r="13" spans="1:12" x14ac:dyDescent="0.25">
      <c r="A13" s="21" t="s">
        <v>46</v>
      </c>
      <c r="B13" s="22">
        <f>COUNTIF('📋 Raw Data'!D$2:D$201,A13)</f>
        <v>29</v>
      </c>
      <c r="C13" s="17">
        <f>AVERAGEIF('📋 Raw Data'!D$2:D$201,A13,'📋 Raw Data'!N$2:N$201)</f>
        <v>28858.51517241379</v>
      </c>
      <c r="D13" s="17">
        <f>SUMIF('📋 Raw Data'!D$2:D$201,A13,'📋 Raw Data'!M$2:M$201)</f>
        <v>57021.339999999989</v>
      </c>
      <c r="F13" s="21" t="s">
        <v>49</v>
      </c>
      <c r="G13" s="22">
        <f>COUNTIF('📋 Raw Data'!I$2:I$201,F13)</f>
        <v>44</v>
      </c>
      <c r="H13" s="17">
        <f>AVERAGEIF('📋 Raw Data'!I$2:I$201,F13,'📋 Raw Data'!P$2:P$201)</f>
        <v>20683.378795454544</v>
      </c>
      <c r="I13" s="17">
        <f>SUMIF('📋 Raw Data'!I$2:I$201,F13,'📋 Raw Data'!M$2:M$201)</f>
        <v>49936.619999999995</v>
      </c>
    </row>
    <row r="14" spans="1:12" x14ac:dyDescent="0.25">
      <c r="A14" s="23" t="s">
        <v>25</v>
      </c>
      <c r="B14" s="24">
        <f>COUNTIF('📋 Raw Data'!D$2:D$201,A14)</f>
        <v>31</v>
      </c>
      <c r="C14" s="19">
        <f>AVERAGEIF('📋 Raw Data'!D$2:D$201,A14,'📋 Raw Data'!N$2:N$201)</f>
        <v>22673.729677419349</v>
      </c>
      <c r="D14" s="19">
        <f>SUMIF('📋 Raw Data'!D$2:D$201,A14,'📋 Raw Data'!M$2:M$201)</f>
        <v>55020.42</v>
      </c>
      <c r="F14" s="23" t="s">
        <v>28</v>
      </c>
      <c r="G14" s="24">
        <f>COUNTIF('📋 Raw Data'!I$2:I$201,F14)</f>
        <v>52</v>
      </c>
      <c r="H14" s="19">
        <f>AVERAGEIF('📋 Raw Data'!I$2:I$201,F14,'📋 Raw Data'!P$2:P$201)</f>
        <v>15763.636923076925</v>
      </c>
      <c r="I14" s="19">
        <f>SUMIF('📋 Raw Data'!I$2:I$201,F14,'📋 Raw Data'!M$2:M$201)</f>
        <v>0</v>
      </c>
    </row>
    <row r="15" spans="1:12" x14ac:dyDescent="0.25">
      <c r="A15" s="21" t="s">
        <v>40</v>
      </c>
      <c r="B15" s="22">
        <f>COUNTIF('📋 Raw Data'!D$2:D$201,A15)</f>
        <v>23</v>
      </c>
      <c r="C15" s="17">
        <f>AVERAGEIF('📋 Raw Data'!D$2:D$201,A15,'📋 Raw Data'!N$2:N$201)</f>
        <v>25563.984347826088</v>
      </c>
      <c r="D15" s="17">
        <f>SUMIF('📋 Raw Data'!D$2:D$201,A15,'📋 Raw Data'!M$2:M$201)</f>
        <v>45106.84</v>
      </c>
    </row>
    <row r="16" spans="1:12" x14ac:dyDescent="0.25">
      <c r="A16" s="23" t="s">
        <v>18</v>
      </c>
      <c r="B16" s="24">
        <f>COUNTIF('📋 Raw Data'!D$2:D$201,A16)</f>
        <v>31</v>
      </c>
      <c r="C16" s="19">
        <f>AVERAGEIF('📋 Raw Data'!D$2:D$201,A16,'📋 Raw Data'!N$2:N$201)</f>
        <v>19089.084516129031</v>
      </c>
      <c r="D16" s="19">
        <f>SUMIF('📋 Raw Data'!D$2:D$201,A16,'📋 Raw Data'!M$2:M$201)</f>
        <v>32960.42</v>
      </c>
    </row>
    <row r="17" spans="1:9" x14ac:dyDescent="0.25">
      <c r="A17" s="21" t="s">
        <v>53</v>
      </c>
      <c r="B17" s="22">
        <f>COUNTIF('📋 Raw Data'!D$2:D$201,A17)</f>
        <v>25</v>
      </c>
      <c r="C17" s="17">
        <f>AVERAGEIF('📋 Raw Data'!D$2:D$201,A17,'📋 Raw Data'!N$2:N$201)</f>
        <v>19689.148800000003</v>
      </c>
      <c r="D17" s="17">
        <f>SUMIF('📋 Raw Data'!D$2:D$201,A17,'📋 Raw Data'!M$2:M$201)</f>
        <v>38323.119999999995</v>
      </c>
    </row>
    <row r="20" spans="1:9" ht="25.5" customHeight="1" x14ac:dyDescent="0.25">
      <c r="A20" s="29" t="s">
        <v>202</v>
      </c>
      <c r="B20" s="29"/>
      <c r="C20" s="29"/>
      <c r="D20" s="29"/>
      <c r="F20" s="30" t="s">
        <v>203</v>
      </c>
      <c r="G20" s="30"/>
      <c r="H20" s="30"/>
      <c r="I20" s="30"/>
    </row>
    <row r="21" spans="1:9" x14ac:dyDescent="0.25">
      <c r="A21" s="20" t="s">
        <v>2</v>
      </c>
      <c r="B21" s="20" t="s">
        <v>197</v>
      </c>
      <c r="C21" s="20" t="s">
        <v>198</v>
      </c>
      <c r="D21" s="20" t="s">
        <v>204</v>
      </c>
      <c r="F21" s="20" t="s">
        <v>5</v>
      </c>
      <c r="G21" s="20" t="s">
        <v>197</v>
      </c>
      <c r="H21" s="20" t="s">
        <v>201</v>
      </c>
      <c r="I21" s="20" t="s">
        <v>205</v>
      </c>
    </row>
    <row r="22" spans="1:9" x14ac:dyDescent="0.25">
      <c r="A22" s="21" t="s">
        <v>24</v>
      </c>
      <c r="B22" s="22">
        <f>COUNTIF('📋 Raw Data'!C$2:C$201,A22)</f>
        <v>109</v>
      </c>
      <c r="C22" s="17">
        <f>AVERAGEIF('📋 Raw Data'!C$2:C$201,A22,'📋 Raw Data'!N$2:N$201)</f>
        <v>22115.181651376144</v>
      </c>
      <c r="D22" s="25">
        <f>AVERAGEIF('📋 Raw Data'!C$2:C$201,A22,'📋 Raw Data'!H$2:H$201)</f>
        <v>9.5321100917431192</v>
      </c>
      <c r="F22" s="21" t="s">
        <v>20</v>
      </c>
      <c r="G22" s="22">
        <f>COUNTIF('📋 Raw Data'!F$2:F$201,F22)</f>
        <v>41</v>
      </c>
      <c r="H22" s="17">
        <f>AVERAGEIF('📋 Raw Data'!F$2:F$201,F22,'📋 Raw Data'!P$2:P$201)</f>
        <v>19200.475439024398</v>
      </c>
      <c r="I22" s="17">
        <f>SUMIF('📋 Raw Data'!F$2:F$201,F22,'📋 Raw Data'!N$2:N$201)</f>
        <v>926140.58000000031</v>
      </c>
    </row>
    <row r="23" spans="1:9" x14ac:dyDescent="0.25">
      <c r="A23" s="23" t="s">
        <v>17</v>
      </c>
      <c r="B23" s="24">
        <f>COUNTIF('📋 Raw Data'!C$2:C$201,A23)</f>
        <v>91</v>
      </c>
      <c r="C23" s="19">
        <f>AVERAGEIF('📋 Raw Data'!C$2:C$201,A23,'📋 Raw Data'!N$2:N$201)</f>
        <v>22148.834505494506</v>
      </c>
      <c r="D23" s="26">
        <f>AVERAGEIF('📋 Raw Data'!C$2:C$201,A23,'📋 Raw Data'!H$2:H$201)</f>
        <v>9.9010989010989015</v>
      </c>
      <c r="F23" s="23" t="s">
        <v>58</v>
      </c>
      <c r="G23" s="24">
        <f>COUNTIF('📋 Raw Data'!F$2:F$201,F23)</f>
        <v>40</v>
      </c>
      <c r="H23" s="19">
        <f>AVERAGEIF('📋 Raw Data'!F$2:F$201,F23,'📋 Raw Data'!P$2:P$201)</f>
        <v>19319.518674999996</v>
      </c>
      <c r="I23" s="19">
        <f>SUMIF('📋 Raw Data'!F$2:F$201,F23,'📋 Raw Data'!N$2:N$201)</f>
        <v>909153.82</v>
      </c>
    </row>
    <row r="24" spans="1:9" x14ac:dyDescent="0.25">
      <c r="F24" s="21" t="s">
        <v>44</v>
      </c>
      <c r="G24" s="22">
        <f>COUNTIF('📋 Raw Data'!F$2:F$201,F24)</f>
        <v>44</v>
      </c>
      <c r="H24" s="17">
        <f>AVERAGEIF('📋 Raw Data'!F$2:F$201,F24,'📋 Raw Data'!P$2:P$201)</f>
        <v>18119.848340909095</v>
      </c>
      <c r="I24" s="17">
        <f>SUMIF('📋 Raw Data'!F$2:F$201,F24,'📋 Raw Data'!N$2:N$201)</f>
        <v>937968.62</v>
      </c>
    </row>
    <row r="25" spans="1:9" x14ac:dyDescent="0.25">
      <c r="F25" s="23" t="s">
        <v>48</v>
      </c>
      <c r="G25" s="24">
        <f>COUNTIF('📋 Raw Data'!F$2:F$201,F25)</f>
        <v>49</v>
      </c>
      <c r="H25" s="19">
        <f>AVERAGEIF('📋 Raw Data'!F$2:F$201,F25,'📋 Raw Data'!P$2:P$201)</f>
        <v>18505.479346938777</v>
      </c>
      <c r="I25" s="19">
        <f>SUMIF('📋 Raw Data'!F$2:F$201,F25,'📋 Raw Data'!N$2:N$201)</f>
        <v>1066317.2799999998</v>
      </c>
    </row>
    <row r="26" spans="1:9" x14ac:dyDescent="0.25">
      <c r="F26" s="21" t="s">
        <v>32</v>
      </c>
      <c r="G26" s="22">
        <f>COUNTIF('📋 Raw Data'!F$2:F$201,F26)</f>
        <v>26</v>
      </c>
      <c r="H26" s="17">
        <f>AVERAGEIF('📋 Raw Data'!F$2:F$201,F26,'📋 Raw Data'!P$2:P$201)</f>
        <v>19192.755923076918</v>
      </c>
      <c r="I26" s="17">
        <f>SUMIF('📋 Raw Data'!F$2:F$201,F26,'📋 Raw Data'!N$2:N$201)</f>
        <v>586518.44000000006</v>
      </c>
    </row>
  </sheetData>
  <mergeCells count="18">
    <mergeCell ref="A9:D9"/>
    <mergeCell ref="F9:I9"/>
    <mergeCell ref="A20:D20"/>
    <mergeCell ref="F20:I20"/>
    <mergeCell ref="A6:C6"/>
    <mergeCell ref="D6:F6"/>
    <mergeCell ref="G6:I6"/>
    <mergeCell ref="J6:L6"/>
    <mergeCell ref="A7:C7"/>
    <mergeCell ref="D7:F7"/>
    <mergeCell ref="G7:I7"/>
    <mergeCell ref="J7:L7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📋 Raw Data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2026-05-15T07:39:06Z</dcterms:created>
  <dcterms:modified xsi:type="dcterms:W3CDTF">2026-05-16T22:44:17Z</dcterms:modified>
  <dc:language>en-US</dc:language>
</cp:coreProperties>
</file>